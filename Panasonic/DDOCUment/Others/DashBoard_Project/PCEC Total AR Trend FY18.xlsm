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/>
  <mc:AlternateContent xmlns:mc="http://schemas.openxmlformats.org/markup-compatibility/2006">
    <mc:Choice Requires="x15">
      <x15ac:absPath xmlns:x15ac="http://schemas.microsoft.com/office/spreadsheetml/2010/11/ac" url="X:\PCEC\COLLECTION\PCEC Month end reports  FY18\"/>
    </mc:Choice>
  </mc:AlternateContent>
  <bookViews>
    <workbookView xWindow="480" yWindow="270" windowWidth="13995" windowHeight="7935"/>
  </bookViews>
  <sheets>
    <sheet name="PCEC Total" sheetId="1" r:id="rId1"/>
    <sheet name="PCEG Total" sheetId="5" r:id="rId2"/>
  </sheets>
  <definedNames>
    <definedName name="_xlnm.Print_Area" localSheetId="0">'PCEC Total'!$A$1:$O$54</definedName>
  </definedNames>
  <calcPr calcId="171027"/>
</workbook>
</file>

<file path=xl/calcChain.xml><?xml version="1.0" encoding="utf-8"?>
<calcChain xmlns="http://schemas.openxmlformats.org/spreadsheetml/2006/main">
  <c r="C50" i="5" l="1"/>
  <c r="C49" i="5"/>
  <c r="C48" i="5"/>
  <c r="C47" i="5"/>
  <c r="C46" i="5"/>
  <c r="C45" i="5"/>
  <c r="C43" i="5"/>
  <c r="C14" i="5"/>
  <c r="C52" i="5" s="1"/>
  <c r="C13" i="5"/>
  <c r="C51" i="5" s="1"/>
  <c r="C54" i="1"/>
  <c r="C52" i="1"/>
  <c r="C50" i="1"/>
  <c r="C49" i="1"/>
  <c r="C48" i="1"/>
  <c r="C47" i="1"/>
  <c r="C46" i="1"/>
  <c r="C45" i="1"/>
  <c r="C43" i="1"/>
  <c r="C14" i="1"/>
  <c r="C13" i="1"/>
  <c r="C51" i="1" s="1"/>
  <c r="C15" i="5" l="1"/>
  <c r="L43" i="1"/>
  <c r="F13" i="5" l="1"/>
  <c r="F14" i="5"/>
  <c r="F43" i="5"/>
  <c r="F45" i="5"/>
  <c r="F46" i="5"/>
  <c r="F47" i="5"/>
  <c r="F48" i="5"/>
  <c r="F49" i="5"/>
  <c r="F50" i="5"/>
  <c r="F51" i="5"/>
  <c r="F43" i="1"/>
  <c r="F45" i="1"/>
  <c r="F46" i="1"/>
  <c r="F47" i="1"/>
  <c r="F48" i="1"/>
  <c r="F49" i="1"/>
  <c r="F50" i="1"/>
  <c r="F51" i="1"/>
  <c r="F52" i="1"/>
  <c r="F14" i="1"/>
  <c r="F13" i="1"/>
  <c r="F52" i="5" l="1"/>
  <c r="E43" i="5"/>
  <c r="G43" i="5"/>
  <c r="H43" i="5"/>
  <c r="I43" i="5"/>
  <c r="J43" i="5"/>
  <c r="K43" i="5"/>
  <c r="L43" i="5"/>
  <c r="M43" i="5"/>
  <c r="N43" i="5"/>
  <c r="O43" i="5"/>
  <c r="E45" i="5"/>
  <c r="G45" i="5"/>
  <c r="H45" i="5"/>
  <c r="I45" i="5"/>
  <c r="J45" i="5"/>
  <c r="K45" i="5"/>
  <c r="L45" i="5"/>
  <c r="M45" i="5"/>
  <c r="N45" i="5"/>
  <c r="O45" i="5"/>
  <c r="E46" i="5"/>
  <c r="G46" i="5"/>
  <c r="H46" i="5"/>
  <c r="I46" i="5"/>
  <c r="J46" i="5"/>
  <c r="K46" i="5"/>
  <c r="L46" i="5"/>
  <c r="M46" i="5"/>
  <c r="N46" i="5"/>
  <c r="O46" i="5"/>
  <c r="E47" i="5"/>
  <c r="G47" i="5"/>
  <c r="H47" i="5"/>
  <c r="I47" i="5"/>
  <c r="J47" i="5"/>
  <c r="K47" i="5"/>
  <c r="L47" i="5"/>
  <c r="M47" i="5"/>
  <c r="N47" i="5"/>
  <c r="O47" i="5"/>
  <c r="E48" i="5"/>
  <c r="G48" i="5"/>
  <c r="H48" i="5"/>
  <c r="I48" i="5"/>
  <c r="J48" i="5"/>
  <c r="K48" i="5"/>
  <c r="L48" i="5"/>
  <c r="M48" i="5"/>
  <c r="N48" i="5"/>
  <c r="O48" i="5"/>
  <c r="E49" i="5"/>
  <c r="G49" i="5"/>
  <c r="H49" i="5"/>
  <c r="I49" i="5"/>
  <c r="J49" i="5"/>
  <c r="K49" i="5"/>
  <c r="L49" i="5"/>
  <c r="M49" i="5"/>
  <c r="N49" i="5"/>
  <c r="O49" i="5"/>
  <c r="E50" i="5"/>
  <c r="G50" i="5"/>
  <c r="H50" i="5"/>
  <c r="I50" i="5"/>
  <c r="J50" i="5"/>
  <c r="K50" i="5"/>
  <c r="L50" i="5"/>
  <c r="M50" i="5"/>
  <c r="N50" i="5"/>
  <c r="O50" i="5"/>
  <c r="D50" i="5"/>
  <c r="D49" i="5"/>
  <c r="D48" i="5"/>
  <c r="D47" i="5"/>
  <c r="D46" i="5"/>
  <c r="D45" i="5"/>
  <c r="D43" i="5"/>
  <c r="H13" i="1" l="1"/>
  <c r="H51" i="1" s="1"/>
  <c r="I13" i="1"/>
  <c r="I51" i="1" s="1"/>
  <c r="J13" i="1"/>
  <c r="J51" i="1" s="1"/>
  <c r="K13" i="1"/>
  <c r="L13" i="1"/>
  <c r="L51" i="1" s="1"/>
  <c r="M13" i="1"/>
  <c r="M51" i="1" s="1"/>
  <c r="N13" i="1"/>
  <c r="N51" i="1" s="1"/>
  <c r="O13" i="1"/>
  <c r="O51" i="1" s="1"/>
  <c r="H14" i="1"/>
  <c r="H52" i="1" s="1"/>
  <c r="I14" i="1"/>
  <c r="J14" i="1"/>
  <c r="J52" i="1" s="1"/>
  <c r="K14" i="1"/>
  <c r="K52" i="1" s="1"/>
  <c r="L14" i="1"/>
  <c r="L52" i="1" s="1"/>
  <c r="M14" i="1"/>
  <c r="M52" i="1" s="1"/>
  <c r="N14" i="1"/>
  <c r="N52" i="1" s="1"/>
  <c r="O14" i="1"/>
  <c r="H43" i="1"/>
  <c r="I43" i="1"/>
  <c r="J43" i="1"/>
  <c r="K43" i="1"/>
  <c r="M43" i="1"/>
  <c r="N43" i="1"/>
  <c r="O43" i="1"/>
  <c r="H45" i="1"/>
  <c r="I45" i="1"/>
  <c r="J45" i="1"/>
  <c r="K45" i="1"/>
  <c r="L45" i="1"/>
  <c r="M45" i="1"/>
  <c r="N45" i="1"/>
  <c r="O45" i="1"/>
  <c r="H46" i="1"/>
  <c r="I46" i="1"/>
  <c r="J46" i="1"/>
  <c r="K46" i="1"/>
  <c r="L46" i="1"/>
  <c r="M46" i="1"/>
  <c r="N46" i="1"/>
  <c r="O46" i="1"/>
  <c r="H47" i="1"/>
  <c r="I47" i="1"/>
  <c r="J47" i="1"/>
  <c r="K47" i="1"/>
  <c r="L47" i="1"/>
  <c r="M47" i="1"/>
  <c r="N47" i="1"/>
  <c r="O47" i="1"/>
  <c r="H48" i="1"/>
  <c r="I48" i="1"/>
  <c r="J48" i="1"/>
  <c r="K48" i="1"/>
  <c r="L48" i="1"/>
  <c r="M48" i="1"/>
  <c r="N48" i="1"/>
  <c r="O48" i="1"/>
  <c r="H49" i="1"/>
  <c r="I49" i="1"/>
  <c r="J49" i="1"/>
  <c r="K49" i="1"/>
  <c r="L49" i="1"/>
  <c r="M49" i="1"/>
  <c r="N49" i="1"/>
  <c r="O49" i="1"/>
  <c r="H50" i="1"/>
  <c r="I50" i="1"/>
  <c r="J50" i="1"/>
  <c r="K50" i="1"/>
  <c r="L50" i="1"/>
  <c r="M50" i="1"/>
  <c r="N50" i="1"/>
  <c r="O50" i="1"/>
  <c r="M54" i="1" l="1"/>
  <c r="I15" i="1"/>
  <c r="O15" i="1"/>
  <c r="N15" i="1"/>
  <c r="M15" i="1"/>
  <c r="L15" i="1"/>
  <c r="I52" i="1"/>
  <c r="I54" i="1" s="1"/>
  <c r="J15" i="1"/>
  <c r="K15" i="1"/>
  <c r="O52" i="1"/>
  <c r="O54" i="1" s="1"/>
  <c r="K51" i="1"/>
  <c r="L54" i="1" s="1"/>
  <c r="G13" i="1"/>
  <c r="H15" i="1" s="1"/>
  <c r="G14" i="1"/>
  <c r="G15" i="1" s="1"/>
  <c r="E45" i="1"/>
  <c r="O14" i="5" l="1"/>
  <c r="O52" i="5" s="1"/>
  <c r="N14" i="5"/>
  <c r="M14" i="5"/>
  <c r="M52" i="5" s="1"/>
  <c r="L14" i="5"/>
  <c r="L52" i="5" s="1"/>
  <c r="K14" i="5"/>
  <c r="K52" i="5" s="1"/>
  <c r="J14" i="5"/>
  <c r="J52" i="5" s="1"/>
  <c r="I14" i="5"/>
  <c r="H14" i="5"/>
  <c r="H52" i="5" s="1"/>
  <c r="G14" i="5"/>
  <c r="G52" i="5" s="1"/>
  <c r="E14" i="5"/>
  <c r="E52" i="5" s="1"/>
  <c r="O13" i="5"/>
  <c r="O51" i="5" s="1"/>
  <c r="N13" i="5"/>
  <c r="N51" i="5" s="1"/>
  <c r="M13" i="5"/>
  <c r="M51" i="5" s="1"/>
  <c r="L13" i="5"/>
  <c r="K13" i="5"/>
  <c r="K51" i="5" s="1"/>
  <c r="J13" i="5"/>
  <c r="J51" i="5" s="1"/>
  <c r="I13" i="5"/>
  <c r="I51" i="5" s="1"/>
  <c r="H13" i="5"/>
  <c r="H51" i="5" s="1"/>
  <c r="G13" i="5"/>
  <c r="E13" i="5"/>
  <c r="F15" i="5" s="1"/>
  <c r="E13" i="1"/>
  <c r="F15" i="1" s="1"/>
  <c r="G51" i="1"/>
  <c r="H54" i="1" s="1"/>
  <c r="E14" i="1"/>
  <c r="E52" i="1" s="1"/>
  <c r="E43" i="1"/>
  <c r="G43" i="1"/>
  <c r="G45" i="1"/>
  <c r="E46" i="1"/>
  <c r="G46" i="1"/>
  <c r="E47" i="1"/>
  <c r="G47" i="1"/>
  <c r="E48" i="1"/>
  <c r="G48" i="1"/>
  <c r="E49" i="1"/>
  <c r="G49" i="1"/>
  <c r="E50" i="1"/>
  <c r="G50" i="1"/>
  <c r="D14" i="5"/>
  <c r="D52" i="5" s="1"/>
  <c r="D13" i="5"/>
  <c r="D50" i="1"/>
  <c r="D49" i="1"/>
  <c r="D48" i="1"/>
  <c r="D47" i="1"/>
  <c r="D46" i="1"/>
  <c r="D45" i="1"/>
  <c r="D43" i="1"/>
  <c r="L51" i="5"/>
  <c r="D13" i="1"/>
  <c r="D51" i="1" s="1"/>
  <c r="D14" i="1"/>
  <c r="D52" i="1" s="1"/>
  <c r="D54" i="1" s="1"/>
  <c r="B52" i="5"/>
  <c r="B54" i="5" s="1"/>
  <c r="B51" i="5"/>
  <c r="B5" i="5"/>
  <c r="B16" i="5"/>
  <c r="B25" i="5"/>
  <c r="B34" i="5"/>
  <c r="B14" i="5"/>
  <c r="B15" i="5" s="1"/>
  <c r="B5" i="1"/>
  <c r="B43" i="1" s="1"/>
  <c r="B14" i="1"/>
  <c r="B15" i="1" s="1"/>
  <c r="B16" i="1"/>
  <c r="B25" i="1"/>
  <c r="B34" i="1"/>
  <c r="B51" i="1"/>
  <c r="B52" i="1"/>
  <c r="B54" i="1" s="1"/>
  <c r="B13" i="5"/>
  <c r="G52" i="1"/>
  <c r="E54" i="1" l="1"/>
  <c r="G54" i="1"/>
  <c r="O15" i="5"/>
  <c r="B43" i="5"/>
  <c r="M15" i="5"/>
  <c r="N15" i="5"/>
  <c r="L15" i="5"/>
  <c r="J15" i="5"/>
  <c r="I15" i="5"/>
  <c r="H15" i="5"/>
  <c r="B13" i="1"/>
  <c r="D15" i="5"/>
  <c r="K15" i="5"/>
  <c r="N52" i="5"/>
  <c r="E15" i="5"/>
  <c r="D15" i="1"/>
  <c r="I52" i="5"/>
  <c r="G51" i="5"/>
  <c r="E51" i="5"/>
  <c r="E15" i="1"/>
  <c r="D51" i="5"/>
  <c r="E51" i="1"/>
  <c r="F54" i="1" s="1"/>
</calcChain>
</file>

<file path=xl/sharedStrings.xml><?xml version="1.0" encoding="utf-8"?>
<sst xmlns="http://schemas.openxmlformats.org/spreadsheetml/2006/main" count="88" uniqueCount="20">
  <si>
    <t>Total Invoice</t>
  </si>
  <si>
    <t>Not Due</t>
  </si>
  <si>
    <t>Current</t>
  </si>
  <si>
    <t>1-30</t>
  </si>
  <si>
    <t>31-60</t>
  </si>
  <si>
    <t>61-90</t>
  </si>
  <si>
    <t>over 90</t>
  </si>
  <si>
    <t>Total CB</t>
  </si>
  <si>
    <t>Total C/M</t>
  </si>
  <si>
    <t>Total COA</t>
  </si>
  <si>
    <t>Total Net</t>
  </si>
  <si>
    <t>Total Past Due</t>
  </si>
  <si>
    <t># of Accounts</t>
  </si>
  <si>
    <t>Current + Past Due</t>
  </si>
  <si>
    <t>Invoice Only C.R.</t>
  </si>
  <si>
    <t>Total Inv Past Due</t>
  </si>
  <si>
    <t>Collection Ratio</t>
  </si>
  <si>
    <t>PCEG A/R TREND ANALYSIS - FY17</t>
  </si>
  <si>
    <t>FY2017</t>
  </si>
  <si>
    <t>PCEC A/R TREND ANALYSIS - 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</si>
</sst>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#,##0.0_);\(#,##0.0\)"/>
    <numFmt numFmtId="166" formatCode="#,##0.0"/>
    <numFmt numFmtId="167" formatCode="mm/dd/yy"/>
    <numFmt numFmtId="168" formatCode="#,##0.0,;\(#,##0.0,\)"/>
    <numFmt numFmtId="169" formatCode="_(* #,##0_);_(* \(#,##0\);_(* &quot;-&quot;??_);_(@_)"/>
  </numFmts>
  <fonts count="6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i/>
      <sz val="18"/>
      <name val="Times New Roman"/>
      <family val="1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2" fillId="2" borderId="1" xfId="0" applyFont="1" applyFill="1" applyBorder="1" applyAlignment="1">
      <alignment horizontal="center"/>
    </xf>
    <xf numFmtId="168" fontId="2" fillId="2" borderId="1" xfId="0" applyNumberFormat="1" applyFont="1" applyFill="1" applyBorder="1"/>
    <xf numFmtId="0" fontId="2" fillId="3" borderId="1" xfId="0" applyFont="1" applyFill="1" applyBorder="1" applyAlignment="1">
      <alignment horizontal="center"/>
    </xf>
    <xf numFmtId="168" fontId="2" fillId="3" borderId="1" xfId="0" applyNumberFormat="1" applyFont="1" applyFill="1" applyBorder="1"/>
    <xf numFmtId="0" fontId="2" fillId="2" borderId="0" xfId="0" applyFont="1" applyFill="1" applyBorder="1" applyAlignment="1">
      <alignment vertical="center"/>
    </xf>
    <xf numFmtId="0" fontId="2" fillId="2" borderId="0" xfId="0" applyFont="1" applyFill="1"/>
    <xf numFmtId="0" fontId="3" fillId="2" borderId="0" xfId="0" applyFont="1" applyFill="1"/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 applyAlignment="1">
      <alignment horizontal="center"/>
    </xf>
    <xf numFmtId="14" fontId="3" fillId="2" borderId="1" xfId="0" applyNumberFormat="1" applyFont="1" applyFill="1" applyBorder="1"/>
    <xf numFmtId="0" fontId="3" fillId="2" borderId="1" xfId="0" applyFont="1" applyFill="1" applyBorder="1"/>
    <xf numFmtId="0" fontId="2" fillId="2" borderId="1" xfId="0" applyFont="1" applyFill="1" applyBorder="1"/>
    <xf numFmtId="168" fontId="3" fillId="2" borderId="1" xfId="0" applyNumberFormat="1" applyFont="1" applyFill="1" applyBorder="1"/>
    <xf numFmtId="16" fontId="2" fillId="2" borderId="1" xfId="0" quotePrefix="1" applyNumberFormat="1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164" fontId="3" fillId="3" borderId="1" xfId="0" applyNumberFormat="1" applyFont="1" applyFill="1" applyBorder="1" applyAlignment="1">
      <alignment horizontal="center"/>
    </xf>
    <xf numFmtId="164" fontId="3" fillId="3" borderId="1" xfId="0" applyNumberFormat="1" applyFont="1" applyFill="1" applyBorder="1"/>
    <xf numFmtId="164" fontId="2" fillId="2" borderId="0" xfId="0" applyNumberFormat="1" applyFont="1" applyFill="1"/>
    <xf numFmtId="0" fontId="2" fillId="2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164" fontId="3" fillId="4" borderId="1" xfId="0" applyNumberFormat="1" applyFont="1" applyFill="1" applyBorder="1" applyAlignment="1">
      <alignment vertical="center"/>
    </xf>
    <xf numFmtId="169" fontId="2" fillId="2" borderId="1" xfId="1" applyNumberFormat="1" applyFont="1" applyFill="1" applyBorder="1"/>
    <xf numFmtId="166" fontId="3" fillId="2" borderId="1" xfId="0" applyNumberFormat="1" applyFont="1" applyFill="1" applyBorder="1"/>
    <xf numFmtId="166" fontId="2" fillId="2" borderId="1" xfId="0" applyNumberFormat="1" applyFont="1" applyFill="1" applyBorder="1"/>
    <xf numFmtId="165" fontId="2" fillId="2" borderId="1" xfId="0" applyNumberFormat="1" applyFont="1" applyFill="1" applyBorder="1"/>
    <xf numFmtId="37" fontId="2" fillId="2" borderId="1" xfId="1" applyNumberFormat="1" applyFont="1" applyFill="1" applyBorder="1"/>
    <xf numFmtId="0" fontId="2" fillId="2" borderId="1" xfId="1" applyNumberFormat="1" applyFont="1" applyFill="1" applyBorder="1"/>
    <xf numFmtId="164" fontId="3" fillId="5" borderId="1" xfId="0" applyNumberFormat="1" applyFont="1" applyFill="1" applyBorder="1"/>
    <xf numFmtId="164" fontId="3" fillId="5" borderId="1" xfId="0" applyNumberFormat="1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164" fontId="3" fillId="6" borderId="1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54"/>
  <sheetViews>
    <sheetView tabSelected="1" zoomScale="130" zoomScaleNormal="130" workbookViewId="0">
      <selection activeCell="C11" sqref="C11"/>
    </sheetView>
  </sheetViews>
  <sheetFormatPr defaultColWidth="9.1328125" defaultRowHeight="13.15" x14ac:dyDescent="0.4"/>
  <cols>
    <col min="1" max="1" width="21.73046875" style="6" bestFit="1" customWidth="1"/>
    <col min="2" max="2" width="12" style="6" hidden="1" customWidth="1"/>
    <col min="3" max="3" width="11.59765625" style="6" customWidth="1"/>
    <col min="4" max="4" width="12.3984375" style="6" customWidth="1"/>
    <col min="5" max="5" width="13.73046875" style="6" customWidth="1"/>
    <col min="6" max="6" width="11.59765625" style="6" customWidth="1"/>
    <col min="7" max="7" width="12" style="6" customWidth="1"/>
    <col min="8" max="8" width="12" style="6" bestFit="1" customWidth="1"/>
    <col min="9" max="11" width="12.3984375" style="6" customWidth="1"/>
    <col min="12" max="12" width="11.59765625" style="6" customWidth="1"/>
    <col min="13" max="13" width="12" style="6" customWidth="1"/>
    <col min="14" max="15" width="11.59765625" style="6" customWidth="1"/>
    <col min="16" max="16384" width="9.1328125" style="6"/>
  </cols>
  <sheetData>
    <row r="1" spans="1:15" ht="35.25" customHeight="1" x14ac:dyDescent="0.4">
      <c r="A1" s="31" t="s">
        <v>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5" ht="29.25" customHeight="1" x14ac:dyDescent="0.4">
      <c r="A2" s="5"/>
    </row>
    <row r="3" spans="1:15" x14ac:dyDescent="0.4">
      <c r="A3" s="8" t="s">
        <v>18</v>
      </c>
      <c r="B3" s="10">
        <v>39507</v>
      </c>
      <c r="C3" s="10">
        <v>43190</v>
      </c>
      <c r="D3" s="10">
        <v>43220</v>
      </c>
      <c r="E3" s="10">
        <v>43251</v>
      </c>
      <c r="F3" s="10">
        <v>43281</v>
      </c>
      <c r="G3" s="10">
        <v>43312</v>
      </c>
      <c r="H3" s="10">
        <v>43343</v>
      </c>
      <c r="I3" s="10">
        <v>43373</v>
      </c>
      <c r="J3" s="10">
        <v>43404</v>
      </c>
      <c r="K3" s="10">
        <v>43434</v>
      </c>
      <c r="L3" s="10">
        <v>43465</v>
      </c>
      <c r="M3" s="10">
        <v>43496</v>
      </c>
      <c r="N3" s="10">
        <v>43524</v>
      </c>
      <c r="O3" s="10">
        <v>43555</v>
      </c>
    </row>
    <row r="4" spans="1:15" ht="3.75" customHeight="1" x14ac:dyDescent="0.4">
      <c r="A4" s="11"/>
      <c r="B4" s="12"/>
      <c r="C4" s="12"/>
      <c r="D4" s="9"/>
      <c r="E4" s="9"/>
      <c r="F4" s="9"/>
      <c r="G4" s="12"/>
      <c r="H4" s="12"/>
      <c r="I4" s="12"/>
      <c r="J4" s="12"/>
      <c r="K4" s="12"/>
      <c r="L4" s="12"/>
      <c r="M4" s="12"/>
      <c r="N4" s="12"/>
      <c r="O4" s="12"/>
    </row>
    <row r="5" spans="1:15" s="7" customFormat="1" ht="12.75" customHeight="1" x14ac:dyDescent="0.35">
      <c r="A5" s="11" t="s">
        <v>0</v>
      </c>
      <c r="B5" s="13">
        <f>SUM(B7:B12)</f>
        <v>0</v>
      </c>
      <c r="C5" s="13">
        <v>35005066.270000003</v>
      </c>
      <c r="D5" s="13">
        <v>37232913.539999999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ht="2.25" customHeight="1" x14ac:dyDescent="0.4">
      <c r="A6" s="12"/>
      <c r="B6" s="12"/>
      <c r="C6" s="24"/>
      <c r="D6" s="2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</row>
    <row r="7" spans="1:15" x14ac:dyDescent="0.4">
      <c r="A7" s="1" t="s">
        <v>1</v>
      </c>
      <c r="B7" s="2"/>
      <c r="C7" s="2">
        <v>2403171.1</v>
      </c>
      <c r="D7" s="2">
        <v>4407356.8899999997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12.4" customHeight="1" x14ac:dyDescent="0.4">
      <c r="A8" s="1" t="s">
        <v>2</v>
      </c>
      <c r="B8" s="2"/>
      <c r="C8" s="2">
        <v>31516904.109999999</v>
      </c>
      <c r="D8" s="2">
        <v>31924146.82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ht="12.4" customHeight="1" x14ac:dyDescent="0.4">
      <c r="A9" s="14" t="s">
        <v>3</v>
      </c>
      <c r="B9" s="2"/>
      <c r="C9" s="2">
        <v>968581.54</v>
      </c>
      <c r="D9" s="2">
        <v>741334.55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12.4" customHeight="1" x14ac:dyDescent="0.4">
      <c r="A10" s="15" t="s">
        <v>4</v>
      </c>
      <c r="B10" s="2"/>
      <c r="C10" s="2">
        <v>32095.57</v>
      </c>
      <c r="D10" s="2">
        <v>83418.720000000001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ht="12.4" customHeight="1" x14ac:dyDescent="0.4">
      <c r="A11" s="15" t="s">
        <v>5</v>
      </c>
      <c r="B11" s="2"/>
      <c r="C11" s="2">
        <v>30752.35</v>
      </c>
      <c r="D11" s="2">
        <v>18666.52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" customHeight="1" x14ac:dyDescent="0.4">
      <c r="A12" s="1" t="s">
        <v>6</v>
      </c>
      <c r="B12" s="2"/>
      <c r="C12" s="2">
        <v>53561.599999999999</v>
      </c>
      <c r="D12" s="2">
        <v>57990.04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12" customHeight="1" x14ac:dyDescent="0.4">
      <c r="A13" s="3" t="s">
        <v>13</v>
      </c>
      <c r="B13" s="4">
        <f>SUM(B8+B14)</f>
        <v>0</v>
      </c>
      <c r="C13" s="4">
        <f t="shared" ref="C13" si="0">SUM(C8:C12)</f>
        <v>32601895.170000002</v>
      </c>
      <c r="D13" s="4">
        <f t="shared" ref="D13:F13" si="1">SUM(D8:D12)</f>
        <v>32825556.649999999</v>
      </c>
      <c r="E13" s="4">
        <f t="shared" si="1"/>
        <v>0</v>
      </c>
      <c r="F13" s="4">
        <f t="shared" si="1"/>
        <v>0</v>
      </c>
      <c r="G13" s="4">
        <f t="shared" ref="G13" si="2">SUM(G8:G12)</f>
        <v>0</v>
      </c>
      <c r="H13" s="4">
        <f t="shared" ref="H13:O13" si="3">SUM(H8:H12)</f>
        <v>0</v>
      </c>
      <c r="I13" s="4">
        <f t="shared" si="3"/>
        <v>0</v>
      </c>
      <c r="J13" s="4">
        <f t="shared" si="3"/>
        <v>0</v>
      </c>
      <c r="K13" s="4">
        <f t="shared" si="3"/>
        <v>0</v>
      </c>
      <c r="L13" s="4">
        <f t="shared" si="3"/>
        <v>0</v>
      </c>
      <c r="M13" s="4">
        <f t="shared" si="3"/>
        <v>0</v>
      </c>
      <c r="N13" s="4">
        <f t="shared" si="3"/>
        <v>0</v>
      </c>
      <c r="O13" s="4">
        <f t="shared" si="3"/>
        <v>0</v>
      </c>
    </row>
    <row r="14" spans="1:15" ht="12" customHeight="1" x14ac:dyDescent="0.4">
      <c r="A14" s="3" t="s">
        <v>15</v>
      </c>
      <c r="B14" s="4">
        <f>SUM(B9:B12)</f>
        <v>0</v>
      </c>
      <c r="C14" s="4">
        <f t="shared" ref="C14" si="4">SUM(C9:C12)</f>
        <v>1084991.06</v>
      </c>
      <c r="D14" s="4">
        <f t="shared" ref="D14:F14" si="5">SUM(D9:D12)</f>
        <v>901409.83000000007</v>
      </c>
      <c r="E14" s="4">
        <f t="shared" si="5"/>
        <v>0</v>
      </c>
      <c r="F14" s="4">
        <f t="shared" si="5"/>
        <v>0</v>
      </c>
      <c r="G14" s="4">
        <f t="shared" ref="G14" si="6">SUM(G9:G12)</f>
        <v>0</v>
      </c>
      <c r="H14" s="4">
        <f t="shared" ref="H14:O14" si="7">SUM(H9:H12)</f>
        <v>0</v>
      </c>
      <c r="I14" s="4">
        <f t="shared" si="7"/>
        <v>0</v>
      </c>
      <c r="J14" s="4">
        <f t="shared" si="7"/>
        <v>0</v>
      </c>
      <c r="K14" s="4">
        <f t="shared" si="7"/>
        <v>0</v>
      </c>
      <c r="L14" s="4">
        <f t="shared" si="7"/>
        <v>0</v>
      </c>
      <c r="M14" s="4">
        <f t="shared" si="7"/>
        <v>0</v>
      </c>
      <c r="N14" s="4">
        <f t="shared" si="7"/>
        <v>0</v>
      </c>
      <c r="O14" s="4">
        <f t="shared" si="7"/>
        <v>0</v>
      </c>
    </row>
    <row r="15" spans="1:15" s="19" customFormat="1" ht="12" customHeight="1" x14ac:dyDescent="0.4">
      <c r="A15" s="17" t="s">
        <v>14</v>
      </c>
      <c r="B15" s="18" t="e">
        <f>SUM(1-(B14/#REF!))</f>
        <v>#REF!</v>
      </c>
      <c r="C15" s="32">
        <v>0.96699999999999997</v>
      </c>
      <c r="D15" s="18">
        <f t="shared" ref="D15:G15" si="8">SUM(1-(D14/C13))</f>
        <v>0.97235099906616873</v>
      </c>
      <c r="E15" s="18">
        <f t="shared" si="8"/>
        <v>1</v>
      </c>
      <c r="F15" s="18" t="e">
        <f t="shared" si="8"/>
        <v>#DIV/0!</v>
      </c>
      <c r="G15" s="18" t="e">
        <f t="shared" si="8"/>
        <v>#DIV/0!</v>
      </c>
      <c r="H15" s="18" t="e">
        <f t="shared" ref="H15" si="9">SUM(1-(H14/G13))</f>
        <v>#DIV/0!</v>
      </c>
      <c r="I15" s="18" t="e">
        <f t="shared" ref="I15" si="10">SUM(1-(I14/H13))</f>
        <v>#DIV/0!</v>
      </c>
      <c r="J15" s="18" t="e">
        <f t="shared" ref="J15" si="11">SUM(1-(J14/I13))</f>
        <v>#DIV/0!</v>
      </c>
      <c r="K15" s="18" t="e">
        <f t="shared" ref="K15" si="12">SUM(1-(K14/J13))</f>
        <v>#DIV/0!</v>
      </c>
      <c r="L15" s="18" t="e">
        <f t="shared" ref="L15" si="13">SUM(1-(L14/K13))</f>
        <v>#DIV/0!</v>
      </c>
      <c r="M15" s="18" t="e">
        <f t="shared" ref="M15" si="14">SUM(1-(M14/L13))</f>
        <v>#DIV/0!</v>
      </c>
      <c r="N15" s="18" t="e">
        <f t="shared" ref="N15" si="15">SUM(1-(N14/M13))</f>
        <v>#DIV/0!</v>
      </c>
      <c r="O15" s="18" t="e">
        <f t="shared" ref="O15" si="16">SUM(1-(O14/N13))</f>
        <v>#DIV/0!</v>
      </c>
    </row>
    <row r="16" spans="1:15" s="7" customFormat="1" ht="12" customHeight="1" x14ac:dyDescent="0.35">
      <c r="A16" s="11" t="s">
        <v>7</v>
      </c>
      <c r="B16" s="13">
        <f>SUM(B18:B23)</f>
        <v>0</v>
      </c>
      <c r="C16" s="13">
        <v>2363317.33</v>
      </c>
      <c r="D16" s="13">
        <v>3883542.2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ht="2.25" customHeight="1" x14ac:dyDescent="0.4">
      <c r="A17" s="12"/>
      <c r="B17" s="12"/>
      <c r="C17" s="2"/>
      <c r="D17" s="2"/>
      <c r="E17" s="25"/>
      <c r="F17" s="25"/>
      <c r="G17" s="2"/>
      <c r="H17" s="2"/>
      <c r="I17" s="2"/>
      <c r="J17" s="2"/>
      <c r="K17" s="2"/>
      <c r="L17" s="2"/>
      <c r="M17" s="2"/>
      <c r="N17" s="2"/>
      <c r="O17" s="2"/>
    </row>
    <row r="18" spans="1:15" ht="12.4" customHeight="1" x14ac:dyDescent="0.4">
      <c r="A18" s="1" t="s">
        <v>1</v>
      </c>
      <c r="B18" s="2"/>
      <c r="C18" s="2">
        <v>0</v>
      </c>
      <c r="D18" s="2">
        <v>0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ht="12.4" customHeight="1" x14ac:dyDescent="0.4">
      <c r="A19" s="1" t="s">
        <v>2</v>
      </c>
      <c r="B19" s="2"/>
      <c r="C19" s="2">
        <v>0</v>
      </c>
      <c r="D19" s="2">
        <v>363619.64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2.4" customHeight="1" x14ac:dyDescent="0.4">
      <c r="A20" s="14" t="s">
        <v>3</v>
      </c>
      <c r="B20" s="2"/>
      <c r="C20" s="2">
        <v>1740051.18</v>
      </c>
      <c r="D20" s="2">
        <v>2512593.33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2.4" customHeight="1" x14ac:dyDescent="0.4">
      <c r="A21" s="15" t="s">
        <v>4</v>
      </c>
      <c r="B21" s="2"/>
      <c r="C21" s="2">
        <v>230373.66</v>
      </c>
      <c r="D21" s="2">
        <v>624128.89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2.4" customHeight="1" x14ac:dyDescent="0.4">
      <c r="A22" s="15" t="s">
        <v>5</v>
      </c>
      <c r="B22" s="2"/>
      <c r="C22" s="2">
        <v>249703.08</v>
      </c>
      <c r="D22" s="2">
        <v>121539.13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2.4" customHeight="1" x14ac:dyDescent="0.4">
      <c r="A23" s="1" t="s">
        <v>6</v>
      </c>
      <c r="B23" s="2"/>
      <c r="C23" s="2">
        <v>143189.41</v>
      </c>
      <c r="D23" s="2">
        <v>261661.21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2.25" customHeight="1" x14ac:dyDescent="0.4">
      <c r="A24" s="12"/>
      <c r="B24" s="12"/>
      <c r="C24" s="2"/>
      <c r="D24" s="2"/>
      <c r="E24" s="25"/>
      <c r="F24" s="25"/>
      <c r="G24" s="2"/>
      <c r="H24" s="2"/>
      <c r="I24" s="2"/>
      <c r="J24" s="2"/>
      <c r="K24" s="2"/>
      <c r="L24" s="2"/>
      <c r="M24" s="2"/>
      <c r="N24" s="2"/>
      <c r="O24" s="2"/>
    </row>
    <row r="25" spans="1:15" s="7" customFormat="1" ht="12.75" x14ac:dyDescent="0.35">
      <c r="A25" s="11" t="s">
        <v>8</v>
      </c>
      <c r="B25" s="13">
        <f>SUM(B27:B32)</f>
        <v>0</v>
      </c>
      <c r="C25" s="13">
        <v>-2411929.89</v>
      </c>
      <c r="D25" s="13">
        <v>-3280973.58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ht="2.25" customHeight="1" x14ac:dyDescent="0.4">
      <c r="A26" s="12"/>
      <c r="B26" s="12"/>
      <c r="C26" s="2"/>
      <c r="D26" s="2"/>
      <c r="E26" s="26"/>
      <c r="F26" s="26"/>
      <c r="G26" s="2"/>
      <c r="H26" s="2"/>
      <c r="I26" s="2"/>
      <c r="J26" s="2"/>
      <c r="K26" s="2"/>
      <c r="L26" s="2"/>
      <c r="M26" s="2"/>
      <c r="N26" s="2"/>
      <c r="O26" s="2"/>
    </row>
    <row r="27" spans="1:15" ht="12.4" customHeight="1" x14ac:dyDescent="0.4">
      <c r="A27" s="1" t="s">
        <v>1</v>
      </c>
      <c r="B27" s="2"/>
      <c r="C27" s="2">
        <v>0</v>
      </c>
      <c r="D27" s="2">
        <v>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2.4" customHeight="1" x14ac:dyDescent="0.4">
      <c r="A28" s="1" t="s">
        <v>2</v>
      </c>
      <c r="B28" s="2"/>
      <c r="C28" s="2">
        <v>0</v>
      </c>
      <c r="D28" s="2">
        <v>-3755.06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2.4" customHeight="1" x14ac:dyDescent="0.4">
      <c r="A29" s="14" t="s">
        <v>3</v>
      </c>
      <c r="B29" s="2"/>
      <c r="C29" s="2">
        <v>-1549094.43</v>
      </c>
      <c r="D29" s="2">
        <v>-2281948.23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2.4" customHeight="1" x14ac:dyDescent="0.4">
      <c r="A30" s="15" t="s">
        <v>4</v>
      </c>
      <c r="B30" s="2"/>
      <c r="C30" s="2">
        <v>-563995.68000000005</v>
      </c>
      <c r="D30" s="2">
        <v>-607280.81000000006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2.4" customHeight="1" x14ac:dyDescent="0.4">
      <c r="A31" s="15" t="s">
        <v>5</v>
      </c>
      <c r="B31" s="2"/>
      <c r="C31" s="2">
        <v>-65695.960000000006</v>
      </c>
      <c r="D31" s="2">
        <v>-123841.85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2.4" customHeight="1" x14ac:dyDescent="0.4">
      <c r="A32" s="1" t="s">
        <v>6</v>
      </c>
      <c r="B32" s="2"/>
      <c r="C32" s="2">
        <v>-233143.82</v>
      </c>
      <c r="D32" s="2">
        <v>-264147.63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2.25" customHeight="1" x14ac:dyDescent="0.4">
      <c r="A33" s="12"/>
      <c r="B33" s="12"/>
      <c r="C33" s="2"/>
      <c r="D33" s="2"/>
      <c r="E33" s="26"/>
      <c r="F33" s="26"/>
      <c r="G33" s="2"/>
      <c r="H33" s="2"/>
      <c r="I33" s="2"/>
      <c r="J33" s="2"/>
      <c r="K33" s="2"/>
      <c r="L33" s="2"/>
      <c r="M33" s="2"/>
      <c r="N33" s="2"/>
      <c r="O33" s="2"/>
    </row>
    <row r="34" spans="1:15" s="7" customFormat="1" ht="12.75" x14ac:dyDescent="0.35">
      <c r="A34" s="11" t="s">
        <v>9</v>
      </c>
      <c r="B34" s="13">
        <f>SUM(B36:B41)</f>
        <v>0</v>
      </c>
      <c r="C34" s="13">
        <v>-428080.04</v>
      </c>
      <c r="D34" s="13">
        <v>-508958.2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ht="2.25" customHeight="1" x14ac:dyDescent="0.4">
      <c r="A35" s="12"/>
      <c r="B35" s="1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2.4" customHeight="1" x14ac:dyDescent="0.4">
      <c r="A36" s="1" t="s">
        <v>1</v>
      </c>
      <c r="B36" s="2"/>
      <c r="C36" s="2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2.4" customHeight="1" x14ac:dyDescent="0.4">
      <c r="A37" s="1" t="s">
        <v>2</v>
      </c>
      <c r="B37" s="2"/>
      <c r="C37" s="2">
        <v>-270.95999999999998</v>
      </c>
      <c r="D37" s="2">
        <v>-7622.18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2.4" customHeight="1" x14ac:dyDescent="0.4">
      <c r="A38" s="14" t="s">
        <v>3</v>
      </c>
      <c r="B38" s="2"/>
      <c r="C38" s="2">
        <v>-130628.76</v>
      </c>
      <c r="D38" s="2">
        <v>-164949.54999999999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2.4" customHeight="1" x14ac:dyDescent="0.4">
      <c r="A39" s="15" t="s">
        <v>4</v>
      </c>
      <c r="B39" s="2"/>
      <c r="C39" s="2">
        <v>-104520.57</v>
      </c>
      <c r="D39" s="2">
        <v>-94299.98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2.4" customHeight="1" x14ac:dyDescent="0.4">
      <c r="A40" s="15" t="s">
        <v>5</v>
      </c>
      <c r="B40" s="2"/>
      <c r="C40" s="2">
        <v>-10313.969999999999</v>
      </c>
      <c r="D40" s="2">
        <v>-60664.72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2.4" customHeight="1" x14ac:dyDescent="0.4">
      <c r="A41" s="1" t="s">
        <v>6</v>
      </c>
      <c r="B41" s="2"/>
      <c r="C41" s="2">
        <v>-182345.78</v>
      </c>
      <c r="D41" s="2">
        <v>-181421.77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2.25" customHeight="1" x14ac:dyDescent="0.4">
      <c r="A42" s="12"/>
      <c r="B42" s="1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s="7" customFormat="1" ht="12.75" x14ac:dyDescent="0.35">
      <c r="A43" s="11" t="s">
        <v>10</v>
      </c>
      <c r="B43" s="13">
        <f>SUM(B5+B16+B25+B34)</f>
        <v>0</v>
      </c>
      <c r="C43" s="13">
        <f t="shared" ref="C43" si="17">SUM(C5+C16+C25+C34)</f>
        <v>34528373.670000002</v>
      </c>
      <c r="D43" s="13">
        <f>SUM(D5+D16+D25+D34)</f>
        <v>37326523.960000001</v>
      </c>
      <c r="E43" s="13">
        <f t="shared" ref="E43:G43" si="18">SUM(E5+E16+E25+E34)</f>
        <v>0</v>
      </c>
      <c r="F43" s="13">
        <f t="shared" ref="F43" si="19">SUM(F5+F16+F25+F34)</f>
        <v>0</v>
      </c>
      <c r="G43" s="13">
        <f t="shared" si="18"/>
        <v>0</v>
      </c>
      <c r="H43" s="13">
        <f t="shared" ref="H43:O43" si="20">SUM(H5+H16+H25+H34)</f>
        <v>0</v>
      </c>
      <c r="I43" s="13">
        <f t="shared" si="20"/>
        <v>0</v>
      </c>
      <c r="J43" s="13">
        <f t="shared" si="20"/>
        <v>0</v>
      </c>
      <c r="K43" s="13">
        <f t="shared" si="20"/>
        <v>0</v>
      </c>
      <c r="L43" s="13">
        <f t="shared" si="20"/>
        <v>0</v>
      </c>
      <c r="M43" s="13">
        <f t="shared" si="20"/>
        <v>0</v>
      </c>
      <c r="N43" s="13">
        <f t="shared" si="20"/>
        <v>0</v>
      </c>
      <c r="O43" s="13">
        <f t="shared" si="20"/>
        <v>0</v>
      </c>
    </row>
    <row r="44" spans="1:15" ht="2.25" customHeight="1" x14ac:dyDescent="0.4">
      <c r="A44" s="12"/>
      <c r="B44" s="1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2.4" customHeight="1" x14ac:dyDescent="0.4">
      <c r="A45" s="1" t="s">
        <v>1</v>
      </c>
      <c r="B45" s="2"/>
      <c r="C45" s="13">
        <f t="shared" ref="C45" si="21">SUM(C7+C18+C27+C36)</f>
        <v>2403171.1</v>
      </c>
      <c r="D45" s="13">
        <f t="shared" ref="D45:D50" si="22">SUM(D7+D18+D27+D36)</f>
        <v>4407356.8899999997</v>
      </c>
      <c r="E45" s="13">
        <f t="shared" ref="E45:G45" si="23">SUM(E7+E18+E27+E36)</f>
        <v>0</v>
      </c>
      <c r="F45" s="13">
        <f t="shared" ref="F45" si="24">SUM(F7+F18+F27+F36)</f>
        <v>0</v>
      </c>
      <c r="G45" s="13">
        <f t="shared" si="23"/>
        <v>0</v>
      </c>
      <c r="H45" s="13">
        <f t="shared" ref="H45:O45" si="25">SUM(H7+H18+H27+H36)</f>
        <v>0</v>
      </c>
      <c r="I45" s="13">
        <f t="shared" si="25"/>
        <v>0</v>
      </c>
      <c r="J45" s="13">
        <f t="shared" si="25"/>
        <v>0</v>
      </c>
      <c r="K45" s="13">
        <f t="shared" si="25"/>
        <v>0</v>
      </c>
      <c r="L45" s="13">
        <f t="shared" si="25"/>
        <v>0</v>
      </c>
      <c r="M45" s="13">
        <f t="shared" si="25"/>
        <v>0</v>
      </c>
      <c r="N45" s="13">
        <f t="shared" si="25"/>
        <v>0</v>
      </c>
      <c r="O45" s="13">
        <f t="shared" si="25"/>
        <v>0</v>
      </c>
    </row>
    <row r="46" spans="1:15" ht="12.4" customHeight="1" x14ac:dyDescent="0.4">
      <c r="A46" s="1" t="s">
        <v>2</v>
      </c>
      <c r="B46" s="2"/>
      <c r="C46" s="13">
        <f t="shared" ref="C46" si="26">SUM(C8+C19+C28+C37)</f>
        <v>31516633.149999999</v>
      </c>
      <c r="D46" s="13">
        <f t="shared" si="22"/>
        <v>32276389.220000003</v>
      </c>
      <c r="E46" s="13">
        <f t="shared" ref="E46:G46" si="27">SUM(E8+E19+E28+E37)</f>
        <v>0</v>
      </c>
      <c r="F46" s="13">
        <f t="shared" ref="F46" si="28">SUM(F8+F19+F28+F37)</f>
        <v>0</v>
      </c>
      <c r="G46" s="13">
        <f t="shared" si="27"/>
        <v>0</v>
      </c>
      <c r="H46" s="13">
        <f t="shared" ref="H46:O46" si="29">SUM(H8+H19+H28+H37)</f>
        <v>0</v>
      </c>
      <c r="I46" s="13">
        <f t="shared" si="29"/>
        <v>0</v>
      </c>
      <c r="J46" s="13">
        <f t="shared" si="29"/>
        <v>0</v>
      </c>
      <c r="K46" s="13">
        <f t="shared" si="29"/>
        <v>0</v>
      </c>
      <c r="L46" s="13">
        <f t="shared" si="29"/>
        <v>0</v>
      </c>
      <c r="M46" s="13">
        <f t="shared" si="29"/>
        <v>0</v>
      </c>
      <c r="N46" s="13">
        <f t="shared" si="29"/>
        <v>0</v>
      </c>
      <c r="O46" s="13">
        <f t="shared" si="29"/>
        <v>0</v>
      </c>
    </row>
    <row r="47" spans="1:15" ht="12.4" customHeight="1" x14ac:dyDescent="0.4">
      <c r="A47" s="14" t="s">
        <v>3</v>
      </c>
      <c r="B47" s="2"/>
      <c r="C47" s="13">
        <f t="shared" ref="C47" si="30">SUM(C9+C20+C29+C38)</f>
        <v>1028909.5299999998</v>
      </c>
      <c r="D47" s="13">
        <f t="shared" si="22"/>
        <v>807030.09999999986</v>
      </c>
      <c r="E47" s="13">
        <f t="shared" ref="E47:G47" si="31">SUM(E9+E20+E29+E38)</f>
        <v>0</v>
      </c>
      <c r="F47" s="13">
        <f t="shared" ref="F47" si="32">SUM(F9+F20+F29+F38)</f>
        <v>0</v>
      </c>
      <c r="G47" s="13">
        <f t="shared" si="31"/>
        <v>0</v>
      </c>
      <c r="H47" s="13">
        <f t="shared" ref="H47:O47" si="33">SUM(H9+H20+H29+H38)</f>
        <v>0</v>
      </c>
      <c r="I47" s="13">
        <f t="shared" si="33"/>
        <v>0</v>
      </c>
      <c r="J47" s="13">
        <f t="shared" si="33"/>
        <v>0</v>
      </c>
      <c r="K47" s="13">
        <f t="shared" si="33"/>
        <v>0</v>
      </c>
      <c r="L47" s="13">
        <f t="shared" si="33"/>
        <v>0</v>
      </c>
      <c r="M47" s="13">
        <f t="shared" si="33"/>
        <v>0</v>
      </c>
      <c r="N47" s="13">
        <f t="shared" si="33"/>
        <v>0</v>
      </c>
      <c r="O47" s="13">
        <f t="shared" si="33"/>
        <v>0</v>
      </c>
    </row>
    <row r="48" spans="1:15" ht="12.4" customHeight="1" x14ac:dyDescent="0.4">
      <c r="A48" s="15" t="s">
        <v>4</v>
      </c>
      <c r="B48" s="2"/>
      <c r="C48" s="13">
        <f t="shared" ref="C48" si="34">SUM(C10+C21+C30+C39)</f>
        <v>-406047.02000000008</v>
      </c>
      <c r="D48" s="13">
        <f t="shared" si="22"/>
        <v>5966.8199999999342</v>
      </c>
      <c r="E48" s="13">
        <f t="shared" ref="E48:G48" si="35">SUM(E10+E21+E30+E39)</f>
        <v>0</v>
      </c>
      <c r="F48" s="13">
        <f t="shared" ref="F48" si="36">SUM(F10+F21+F30+F39)</f>
        <v>0</v>
      </c>
      <c r="G48" s="13">
        <f t="shared" si="35"/>
        <v>0</v>
      </c>
      <c r="H48" s="13">
        <f t="shared" ref="H48:O48" si="37">SUM(H10+H21+H30+H39)</f>
        <v>0</v>
      </c>
      <c r="I48" s="13">
        <f t="shared" si="37"/>
        <v>0</v>
      </c>
      <c r="J48" s="13">
        <f t="shared" si="37"/>
        <v>0</v>
      </c>
      <c r="K48" s="13">
        <f t="shared" si="37"/>
        <v>0</v>
      </c>
      <c r="L48" s="13">
        <f t="shared" si="37"/>
        <v>0</v>
      </c>
      <c r="M48" s="13">
        <f t="shared" si="37"/>
        <v>0</v>
      </c>
      <c r="N48" s="13">
        <f t="shared" si="37"/>
        <v>0</v>
      </c>
      <c r="O48" s="13">
        <f t="shared" si="37"/>
        <v>0</v>
      </c>
    </row>
    <row r="49" spans="1:15" ht="12.4" customHeight="1" x14ac:dyDescent="0.4">
      <c r="A49" s="15" t="s">
        <v>5</v>
      </c>
      <c r="B49" s="2"/>
      <c r="C49" s="13">
        <f t="shared" ref="C49" si="38">SUM(C11+C22+C31+C40)</f>
        <v>204445.49999999997</v>
      </c>
      <c r="D49" s="13">
        <f t="shared" si="22"/>
        <v>-44300.920000000013</v>
      </c>
      <c r="E49" s="13">
        <f t="shared" ref="E49:G49" si="39">SUM(E11+E22+E31+E40)</f>
        <v>0</v>
      </c>
      <c r="F49" s="13">
        <f t="shared" ref="F49" si="40">SUM(F11+F22+F31+F40)</f>
        <v>0</v>
      </c>
      <c r="G49" s="13">
        <f t="shared" si="39"/>
        <v>0</v>
      </c>
      <c r="H49" s="13">
        <f t="shared" ref="H49:O49" si="41">SUM(H11+H22+H31+H40)</f>
        <v>0</v>
      </c>
      <c r="I49" s="13">
        <f t="shared" si="41"/>
        <v>0</v>
      </c>
      <c r="J49" s="13">
        <f t="shared" si="41"/>
        <v>0</v>
      </c>
      <c r="K49" s="13">
        <f t="shared" si="41"/>
        <v>0</v>
      </c>
      <c r="L49" s="13">
        <f t="shared" si="41"/>
        <v>0</v>
      </c>
      <c r="M49" s="13">
        <f t="shared" si="41"/>
        <v>0</v>
      </c>
      <c r="N49" s="13">
        <f t="shared" si="41"/>
        <v>0</v>
      </c>
      <c r="O49" s="13">
        <f t="shared" si="41"/>
        <v>0</v>
      </c>
    </row>
    <row r="50" spans="1:15" ht="12.4" customHeight="1" x14ac:dyDescent="0.4">
      <c r="A50" s="1" t="s">
        <v>6</v>
      </c>
      <c r="B50" s="2"/>
      <c r="C50" s="13">
        <f t="shared" ref="C50" si="42">SUM(C12+C23+C32+C41)</f>
        <v>-218738.59</v>
      </c>
      <c r="D50" s="13">
        <f t="shared" si="22"/>
        <v>-125918.15</v>
      </c>
      <c r="E50" s="13">
        <f t="shared" ref="E50:G50" si="43">SUM(E12+E23+E32+E41)</f>
        <v>0</v>
      </c>
      <c r="F50" s="13">
        <f t="shared" ref="F50" si="44">SUM(F12+F23+F32+F41)</f>
        <v>0</v>
      </c>
      <c r="G50" s="13">
        <f t="shared" si="43"/>
        <v>0</v>
      </c>
      <c r="H50" s="13">
        <f t="shared" ref="H50:O50" si="45">SUM(H12+H23+H32+H41)</f>
        <v>0</v>
      </c>
      <c r="I50" s="13">
        <f t="shared" si="45"/>
        <v>0</v>
      </c>
      <c r="J50" s="13">
        <f t="shared" si="45"/>
        <v>0</v>
      </c>
      <c r="K50" s="13">
        <f t="shared" si="45"/>
        <v>0</v>
      </c>
      <c r="L50" s="13">
        <f t="shared" si="45"/>
        <v>0</v>
      </c>
      <c r="M50" s="13">
        <f t="shared" si="45"/>
        <v>0</v>
      </c>
      <c r="N50" s="13">
        <f t="shared" si="45"/>
        <v>0</v>
      </c>
      <c r="O50" s="13">
        <f t="shared" si="45"/>
        <v>0</v>
      </c>
    </row>
    <row r="51" spans="1:15" ht="15" customHeight="1" x14ac:dyDescent="0.4">
      <c r="A51" s="11" t="s">
        <v>13</v>
      </c>
      <c r="B51" s="13">
        <f>SUM(B46:B50)</f>
        <v>0</v>
      </c>
      <c r="C51" s="13">
        <f t="shared" ref="C51" si="46">SUM(C13,C19:C23,C28:C32,C37:C41)</f>
        <v>32125202.569999989</v>
      </c>
      <c r="D51" s="13">
        <f>SUM(D13,D19:D23,D28:D32,D37:D41)</f>
        <v>32919167.07</v>
      </c>
      <c r="E51" s="13">
        <f t="shared" ref="E51:G51" si="47">SUM(E13,E19:E23,E28:E32,E37:E41)</f>
        <v>0</v>
      </c>
      <c r="F51" s="13">
        <f t="shared" ref="F51" si="48">SUM(F13,F19:F23,F28:F32,F37:F41)</f>
        <v>0</v>
      </c>
      <c r="G51" s="13">
        <f t="shared" si="47"/>
        <v>0</v>
      </c>
      <c r="H51" s="13">
        <f t="shared" ref="H51:O51" si="49">SUM(H13,H19:H23,H28:H32,H37:H41)</f>
        <v>0</v>
      </c>
      <c r="I51" s="13">
        <f t="shared" si="49"/>
        <v>0</v>
      </c>
      <c r="J51" s="13">
        <f t="shared" si="49"/>
        <v>0</v>
      </c>
      <c r="K51" s="13">
        <f t="shared" si="49"/>
        <v>0</v>
      </c>
      <c r="L51" s="13">
        <f t="shared" si="49"/>
        <v>0</v>
      </c>
      <c r="M51" s="13">
        <f t="shared" si="49"/>
        <v>0</v>
      </c>
      <c r="N51" s="13">
        <f t="shared" si="49"/>
        <v>0</v>
      </c>
      <c r="O51" s="13">
        <f t="shared" si="49"/>
        <v>0</v>
      </c>
    </row>
    <row r="52" spans="1:15" s="7" customFormat="1" ht="12.75" x14ac:dyDescent="0.35">
      <c r="A52" s="11" t="s">
        <v>11</v>
      </c>
      <c r="B52" s="13">
        <f>SUM(B47+B48+B49+B50)</f>
        <v>0</v>
      </c>
      <c r="C52" s="13">
        <f t="shared" ref="C52" si="50">SUM(C14+C20+C21+C22+C23+C29+C30+C31+C32+C38+C39+C40+C41)</f>
        <v>608569.42000000062</v>
      </c>
      <c r="D52" s="13">
        <f>SUM(D14+D20+D21+D22+D23+D29+D30+D31+D32+D38+D39+D40+D41)</f>
        <v>642777.85000000056</v>
      </c>
      <c r="E52" s="13">
        <f t="shared" ref="E52:G52" si="51">SUM(E14+E20+E21+E22+E23+E29+E30+E31+E32+E38+E39+E40+E41)</f>
        <v>0</v>
      </c>
      <c r="F52" s="13">
        <f t="shared" ref="F52" si="52">SUM(F14+F20+F21+F22+F23+F29+F30+F31+F32+F38+F39+F40+F41)</f>
        <v>0</v>
      </c>
      <c r="G52" s="13">
        <f t="shared" si="51"/>
        <v>0</v>
      </c>
      <c r="H52" s="13">
        <f t="shared" ref="H52:O52" si="53">SUM(H14+H20+H21+H22+H23+H29+H30+H31+H32+H38+H39+H40+H41)</f>
        <v>0</v>
      </c>
      <c r="I52" s="13">
        <f t="shared" si="53"/>
        <v>0</v>
      </c>
      <c r="J52" s="13">
        <f t="shared" si="53"/>
        <v>0</v>
      </c>
      <c r="K52" s="13">
        <f t="shared" si="53"/>
        <v>0</v>
      </c>
      <c r="L52" s="13">
        <f t="shared" si="53"/>
        <v>0</v>
      </c>
      <c r="M52" s="13">
        <f t="shared" si="53"/>
        <v>0</v>
      </c>
      <c r="N52" s="13">
        <f t="shared" si="53"/>
        <v>0</v>
      </c>
      <c r="O52" s="13">
        <f t="shared" si="53"/>
        <v>0</v>
      </c>
    </row>
    <row r="53" spans="1:15" x14ac:dyDescent="0.4">
      <c r="A53" s="16" t="s">
        <v>12</v>
      </c>
      <c r="B53" s="12"/>
      <c r="C53" s="28">
        <v>273</v>
      </c>
      <c r="D53" s="23">
        <v>267</v>
      </c>
      <c r="E53" s="23"/>
      <c r="F53" s="23"/>
      <c r="G53" s="23"/>
      <c r="H53" s="28"/>
      <c r="I53" s="28"/>
      <c r="J53" s="28"/>
      <c r="K53" s="28"/>
      <c r="L53" s="28"/>
      <c r="M53" s="28"/>
      <c r="N53" s="28"/>
      <c r="O53" s="28"/>
    </row>
    <row r="54" spans="1:15" s="20" customFormat="1" ht="18.75" customHeight="1" x14ac:dyDescent="0.35">
      <c r="A54" s="21" t="s">
        <v>16</v>
      </c>
      <c r="B54" s="22" t="e">
        <f>SUM(1-(B52/#REF!))</f>
        <v>#REF!</v>
      </c>
      <c r="C54" s="30" t="e">
        <f t="shared" ref="C54" si="54">SUM(1-C52/B51)</f>
        <v>#DIV/0!</v>
      </c>
      <c r="D54" s="22">
        <f t="shared" ref="D54" si="55">SUM(1-D52/C51)</f>
        <v>0.97999147714012369</v>
      </c>
      <c r="E54" s="22">
        <f t="shared" ref="E54:F54" si="56">SUM(1-E52/D51)</f>
        <v>1</v>
      </c>
      <c r="F54" s="22" t="e">
        <f t="shared" si="56"/>
        <v>#DIV/0!</v>
      </c>
      <c r="G54" s="22" t="e">
        <f t="shared" ref="G54" si="57">SUM(1-G52/F51)</f>
        <v>#DIV/0!</v>
      </c>
      <c r="H54" s="22" t="e">
        <f t="shared" ref="H54" si="58">SUM(1-H52/G51)</f>
        <v>#DIV/0!</v>
      </c>
      <c r="I54" s="22" t="e">
        <f t="shared" ref="I54" si="59">SUM(1-I52/H51)</f>
        <v>#DIV/0!</v>
      </c>
      <c r="J54" s="22">
        <v>1</v>
      </c>
      <c r="K54" s="22">
        <v>1</v>
      </c>
      <c r="L54" s="22" t="e">
        <f t="shared" ref="L54" si="60">SUM(1-L52/K51)</f>
        <v>#DIV/0!</v>
      </c>
      <c r="M54" s="22" t="e">
        <f t="shared" ref="M54" si="61">SUM(1-M52/L51)</f>
        <v>#DIV/0!</v>
      </c>
      <c r="N54" s="22">
        <v>1</v>
      </c>
      <c r="O54" s="22" t="e">
        <f t="shared" ref="O54" si="62">SUM(1-O52/N51)</f>
        <v>#DIV/0!</v>
      </c>
    </row>
  </sheetData>
  <mergeCells count="1">
    <mergeCell ref="A1:N1"/>
  </mergeCells>
  <phoneticPr fontId="0" type="noConversion"/>
  <printOptions horizontalCentered="1"/>
  <pageMargins left="0.17" right="0.17" top="0.83" bottom="0.82" header="0.28000000000000003" footer="0.5"/>
  <pageSetup scale="77" orientation="landscape" r:id="rId1"/>
  <headerFooter alignWithMargins="0"/>
  <ignoredErrors>
    <ignoredError sqref="B14 B5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54"/>
  <sheetViews>
    <sheetView topLeftCell="A15" zoomScale="130" zoomScaleNormal="130" workbookViewId="0">
      <selection activeCell="D55" sqref="D55"/>
    </sheetView>
  </sheetViews>
  <sheetFormatPr defaultColWidth="9.1328125" defaultRowHeight="13.15" x14ac:dyDescent="0.4"/>
  <cols>
    <col min="1" max="1" width="21.73046875" style="6" bestFit="1" customWidth="1"/>
    <col min="2" max="2" width="12" style="6" hidden="1" customWidth="1"/>
    <col min="3" max="3" width="11.59765625" style="6" customWidth="1"/>
    <col min="4" max="4" width="12.3984375" style="6" customWidth="1"/>
    <col min="5" max="5" width="13.73046875" style="6" customWidth="1"/>
    <col min="6" max="6" width="11.59765625" style="6" customWidth="1"/>
    <col min="7" max="7" width="12" style="6" customWidth="1"/>
    <col min="8" max="8" width="13.3984375" style="6" bestFit="1" customWidth="1"/>
    <col min="9" max="11" width="12.3984375" style="6" customWidth="1"/>
    <col min="12" max="12" width="11.59765625" style="6" customWidth="1"/>
    <col min="13" max="13" width="12" style="6" customWidth="1"/>
    <col min="14" max="15" width="11.59765625" style="6" customWidth="1"/>
    <col min="16" max="16384" width="9.1328125" style="6"/>
  </cols>
  <sheetData>
    <row r="1" spans="1:15" ht="35.25" customHeight="1" x14ac:dyDescent="0.4">
      <c r="A1" s="31" t="s">
        <v>17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5" ht="29.25" customHeight="1" x14ac:dyDescent="0.4">
      <c r="A2" s="5"/>
    </row>
    <row r="3" spans="1:15" x14ac:dyDescent="0.4">
      <c r="A3" s="8" t="s">
        <v>18</v>
      </c>
      <c r="B3" s="10">
        <v>39507</v>
      </c>
      <c r="C3" s="10">
        <v>43190</v>
      </c>
      <c r="D3" s="10">
        <v>43220</v>
      </c>
      <c r="E3" s="10">
        <v>43251</v>
      </c>
      <c r="F3" s="10">
        <v>43281</v>
      </c>
      <c r="G3" s="10">
        <v>43312</v>
      </c>
      <c r="H3" s="10">
        <v>43343</v>
      </c>
      <c r="I3" s="10">
        <v>43373</v>
      </c>
      <c r="J3" s="10">
        <v>43404</v>
      </c>
      <c r="K3" s="10">
        <v>43434</v>
      </c>
      <c r="L3" s="10">
        <v>43465</v>
      </c>
      <c r="M3" s="10">
        <v>43496</v>
      </c>
      <c r="N3" s="10">
        <v>43524</v>
      </c>
      <c r="O3" s="10">
        <v>43555</v>
      </c>
    </row>
    <row r="4" spans="1:15" ht="3.75" customHeight="1" x14ac:dyDescent="0.4">
      <c r="A4" s="11"/>
      <c r="B4" s="12"/>
      <c r="C4" s="12"/>
      <c r="D4" s="9"/>
      <c r="E4" s="9"/>
      <c r="F4" s="9"/>
      <c r="G4" s="12"/>
      <c r="H4" s="12"/>
      <c r="I4" s="12"/>
      <c r="J4" s="12"/>
      <c r="K4" s="12"/>
      <c r="L4" s="12"/>
      <c r="M4" s="12"/>
      <c r="N4" s="12"/>
      <c r="O4" s="12"/>
    </row>
    <row r="5" spans="1:15" s="7" customFormat="1" ht="12.75" customHeight="1" x14ac:dyDescent="0.35">
      <c r="A5" s="11" t="s">
        <v>0</v>
      </c>
      <c r="B5" s="13">
        <f>SUM(B7:B12)</f>
        <v>0</v>
      </c>
      <c r="C5" s="13">
        <v>222881.94</v>
      </c>
      <c r="D5" s="13">
        <v>332178.58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ht="2.25" customHeight="1" x14ac:dyDescent="0.4">
      <c r="A6" s="12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4">
      <c r="A7" s="1" t="s">
        <v>1</v>
      </c>
      <c r="B7" s="2"/>
      <c r="C7" s="2">
        <v>9376.7000000000007</v>
      </c>
      <c r="D7" s="2">
        <v>163858.07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12.4" customHeight="1" x14ac:dyDescent="0.4">
      <c r="A8" s="1" t="s">
        <v>2</v>
      </c>
      <c r="B8" s="2"/>
      <c r="C8" s="2">
        <v>182162.89</v>
      </c>
      <c r="D8" s="2">
        <v>161006.42000000001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ht="12.4" customHeight="1" x14ac:dyDescent="0.4">
      <c r="A9" s="14" t="s">
        <v>3</v>
      </c>
      <c r="B9" s="2"/>
      <c r="C9" s="2">
        <v>31054.2</v>
      </c>
      <c r="D9" s="2">
        <v>6875.04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12.4" customHeight="1" x14ac:dyDescent="0.4">
      <c r="A10" s="15" t="s">
        <v>4</v>
      </c>
      <c r="B10" s="2"/>
      <c r="C10" s="2">
        <v>0</v>
      </c>
      <c r="D10" s="2">
        <v>150.9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ht="12.4" customHeight="1" x14ac:dyDescent="0.4">
      <c r="A11" s="15" t="s">
        <v>5</v>
      </c>
      <c r="B11" s="2"/>
      <c r="C11" s="2">
        <v>0</v>
      </c>
      <c r="D11" s="2">
        <v>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" customHeight="1" x14ac:dyDescent="0.4">
      <c r="A12" s="1" t="s">
        <v>6</v>
      </c>
      <c r="B12" s="2"/>
      <c r="C12" s="2">
        <v>288.14999999999998</v>
      </c>
      <c r="D12" s="2">
        <v>288.14999999999998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12" customHeight="1" x14ac:dyDescent="0.4">
      <c r="A13" s="3" t="s">
        <v>13</v>
      </c>
      <c r="B13" s="4">
        <f>SUM(B8+B14)</f>
        <v>0</v>
      </c>
      <c r="C13" s="4">
        <f t="shared" ref="C13" si="0">SUM(C8:C12)</f>
        <v>213505.24000000002</v>
      </c>
      <c r="D13" s="4">
        <f t="shared" ref="D13" si="1">SUM(D8:D12)</f>
        <v>168320.51</v>
      </c>
      <c r="E13" s="4">
        <f t="shared" ref="E13:O13" si="2">SUM(E8:E12)</f>
        <v>0</v>
      </c>
      <c r="F13" s="4">
        <f t="shared" ref="F13" si="3">SUM(F8:F12)</f>
        <v>0</v>
      </c>
      <c r="G13" s="4">
        <f t="shared" si="2"/>
        <v>0</v>
      </c>
      <c r="H13" s="4">
        <f t="shared" si="2"/>
        <v>0</v>
      </c>
      <c r="I13" s="4">
        <f t="shared" si="2"/>
        <v>0</v>
      </c>
      <c r="J13" s="4">
        <f t="shared" si="2"/>
        <v>0</v>
      </c>
      <c r="K13" s="4">
        <f t="shared" si="2"/>
        <v>0</v>
      </c>
      <c r="L13" s="4">
        <f t="shared" si="2"/>
        <v>0</v>
      </c>
      <c r="M13" s="4">
        <f t="shared" si="2"/>
        <v>0</v>
      </c>
      <c r="N13" s="4">
        <f t="shared" si="2"/>
        <v>0</v>
      </c>
      <c r="O13" s="4">
        <f t="shared" si="2"/>
        <v>0</v>
      </c>
    </row>
    <row r="14" spans="1:15" ht="12" customHeight="1" x14ac:dyDescent="0.4">
      <c r="A14" s="3" t="s">
        <v>15</v>
      </c>
      <c r="B14" s="4">
        <f>SUM(B9:B12)</f>
        <v>0</v>
      </c>
      <c r="C14" s="4">
        <f t="shared" ref="C14" si="4">SUM(C9:C12)</f>
        <v>31342.350000000002</v>
      </c>
      <c r="D14" s="4">
        <f t="shared" ref="D14" si="5">SUM(D9:D12)</f>
        <v>7314.0899999999992</v>
      </c>
      <c r="E14" s="4">
        <f t="shared" ref="E14:O14" si="6">SUM(E9:E12)</f>
        <v>0</v>
      </c>
      <c r="F14" s="4">
        <f t="shared" ref="F14" si="7">SUM(F9:F12)</f>
        <v>0</v>
      </c>
      <c r="G14" s="4">
        <f t="shared" si="6"/>
        <v>0</v>
      </c>
      <c r="H14" s="4">
        <f t="shared" si="6"/>
        <v>0</v>
      </c>
      <c r="I14" s="4">
        <f t="shared" si="6"/>
        <v>0</v>
      </c>
      <c r="J14" s="4">
        <f t="shared" si="6"/>
        <v>0</v>
      </c>
      <c r="K14" s="4">
        <f t="shared" si="6"/>
        <v>0</v>
      </c>
      <c r="L14" s="4">
        <f t="shared" si="6"/>
        <v>0</v>
      </c>
      <c r="M14" s="4">
        <f t="shared" si="6"/>
        <v>0</v>
      </c>
      <c r="N14" s="4">
        <f t="shared" si="6"/>
        <v>0</v>
      </c>
      <c r="O14" s="4">
        <f t="shared" si="6"/>
        <v>0</v>
      </c>
    </row>
    <row r="15" spans="1:15" s="19" customFormat="1" ht="12" customHeight="1" x14ac:dyDescent="0.4">
      <c r="A15" s="17" t="s">
        <v>14</v>
      </c>
      <c r="B15" s="18" t="e">
        <f>SUM(1-(B14/#REF!))</f>
        <v>#REF!</v>
      </c>
      <c r="C15" s="29" t="e">
        <f t="shared" ref="C15:O15" si="8">SUM(1-(C14/B13))</f>
        <v>#DIV/0!</v>
      </c>
      <c r="D15" s="18">
        <f t="shared" ref="D15" si="9">SUM(1-(D14/C13))</f>
        <v>0.96574280799852974</v>
      </c>
      <c r="E15" s="18">
        <f t="shared" si="8"/>
        <v>1</v>
      </c>
      <c r="F15" s="18" t="e">
        <f t="shared" si="8"/>
        <v>#DIV/0!</v>
      </c>
      <c r="G15" s="18">
        <v>0.95699999999999996</v>
      </c>
      <c r="H15" s="18" t="e">
        <f t="shared" si="8"/>
        <v>#DIV/0!</v>
      </c>
      <c r="I15" s="18" t="e">
        <f t="shared" si="8"/>
        <v>#DIV/0!</v>
      </c>
      <c r="J15" s="18" t="e">
        <f t="shared" si="8"/>
        <v>#DIV/0!</v>
      </c>
      <c r="K15" s="18" t="e">
        <f t="shared" si="8"/>
        <v>#DIV/0!</v>
      </c>
      <c r="L15" s="18" t="e">
        <f t="shared" si="8"/>
        <v>#DIV/0!</v>
      </c>
      <c r="M15" s="18" t="e">
        <f t="shared" si="8"/>
        <v>#DIV/0!</v>
      </c>
      <c r="N15" s="18" t="e">
        <f t="shared" si="8"/>
        <v>#DIV/0!</v>
      </c>
      <c r="O15" s="18" t="e">
        <f t="shared" si="8"/>
        <v>#DIV/0!</v>
      </c>
    </row>
    <row r="16" spans="1:15" s="7" customFormat="1" ht="12" customHeight="1" x14ac:dyDescent="0.35">
      <c r="A16" s="11" t="s">
        <v>7</v>
      </c>
      <c r="B16" s="13">
        <f>SUM(B18:B23)</f>
        <v>0</v>
      </c>
      <c r="C16" s="13">
        <v>815.64</v>
      </c>
      <c r="D16" s="13">
        <v>752.61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ht="2.25" customHeight="1" x14ac:dyDescent="0.4">
      <c r="A17" s="12"/>
      <c r="B17" s="1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ht="12.4" customHeight="1" x14ac:dyDescent="0.4">
      <c r="A18" s="1" t="s">
        <v>1</v>
      </c>
      <c r="B18" s="2"/>
      <c r="C18" s="2">
        <v>0</v>
      </c>
      <c r="D18" s="2">
        <v>0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ht="12.4" customHeight="1" x14ac:dyDescent="0.4">
      <c r="A19" s="1" t="s">
        <v>2</v>
      </c>
      <c r="B19" s="2"/>
      <c r="C19" s="2">
        <v>0</v>
      </c>
      <c r="D19" s="2">
        <v>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2.4" customHeight="1" x14ac:dyDescent="0.4">
      <c r="A20" s="14" t="s">
        <v>3</v>
      </c>
      <c r="B20" s="2"/>
      <c r="C20" s="2">
        <v>221.87</v>
      </c>
      <c r="D20" s="2">
        <v>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2.4" customHeight="1" x14ac:dyDescent="0.4">
      <c r="A21" s="15" t="s">
        <v>4</v>
      </c>
      <c r="B21" s="2"/>
      <c r="C21" s="2">
        <v>325.8</v>
      </c>
      <c r="D21" s="2">
        <v>158.84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2.4" customHeight="1" x14ac:dyDescent="0.4">
      <c r="A22" s="15" t="s">
        <v>5</v>
      </c>
      <c r="B22" s="2"/>
      <c r="C22" s="2">
        <v>267.97000000000003</v>
      </c>
      <c r="D22" s="2">
        <v>325.8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2.4" customHeight="1" x14ac:dyDescent="0.4">
      <c r="A23" s="1" t="s">
        <v>6</v>
      </c>
      <c r="B23" s="2"/>
      <c r="C23" s="2">
        <v>0</v>
      </c>
      <c r="D23" s="2">
        <v>267.97000000000003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2.25" customHeight="1" x14ac:dyDescent="0.4">
      <c r="A24" s="12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s="7" customFormat="1" ht="12.75" x14ac:dyDescent="0.35">
      <c r="A25" s="11" t="s">
        <v>8</v>
      </c>
      <c r="B25" s="13">
        <f>SUM(B27:B32)</f>
        <v>0</v>
      </c>
      <c r="C25" s="13">
        <v>-32451.8</v>
      </c>
      <c r="D25" s="13">
        <v>-12347.2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ht="2.25" customHeight="1" x14ac:dyDescent="0.4">
      <c r="A26" s="12"/>
      <c r="B26" s="1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2.4" customHeight="1" x14ac:dyDescent="0.4">
      <c r="A27" s="1" t="s">
        <v>1</v>
      </c>
      <c r="B27" s="2"/>
      <c r="C27" s="2">
        <v>0</v>
      </c>
      <c r="D27" s="2">
        <v>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2.4" customHeight="1" x14ac:dyDescent="0.4">
      <c r="A28" s="1" t="s">
        <v>2</v>
      </c>
      <c r="B28" s="2"/>
      <c r="C28" s="2">
        <v>0</v>
      </c>
      <c r="D28" s="2">
        <v>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2.4" customHeight="1" x14ac:dyDescent="0.4">
      <c r="A29" s="14" t="s">
        <v>3</v>
      </c>
      <c r="B29" s="2"/>
      <c r="C29" s="2">
        <v>-8760</v>
      </c>
      <c r="D29" s="2">
        <v>-7573.6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2.4" customHeight="1" x14ac:dyDescent="0.4">
      <c r="A30" s="15" t="s">
        <v>4</v>
      </c>
      <c r="B30" s="2"/>
      <c r="C30" s="2">
        <v>-20678.54</v>
      </c>
      <c r="D30" s="2">
        <v>-771.68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2.4" customHeight="1" x14ac:dyDescent="0.4">
      <c r="A31" s="15" t="s">
        <v>5</v>
      </c>
      <c r="B31" s="2"/>
      <c r="C31" s="2">
        <v>-1367.67</v>
      </c>
      <c r="D31" s="2">
        <v>-2454.41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2.4" customHeight="1" x14ac:dyDescent="0.4">
      <c r="A32" s="1" t="s">
        <v>6</v>
      </c>
      <c r="B32" s="2"/>
      <c r="C32" s="2">
        <v>-1645.59</v>
      </c>
      <c r="D32" s="2">
        <v>-1547.51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2.25" customHeight="1" x14ac:dyDescent="0.4">
      <c r="A33" s="12"/>
      <c r="B33" s="1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s="7" customFormat="1" ht="12.75" x14ac:dyDescent="0.35">
      <c r="A34" s="11" t="s">
        <v>9</v>
      </c>
      <c r="B34" s="13">
        <f>SUM(B36:B41)</f>
        <v>0</v>
      </c>
      <c r="C34" s="13">
        <v>-2854.96</v>
      </c>
      <c r="D34" s="13">
        <v>-1850.32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ht="2.25" customHeight="1" x14ac:dyDescent="0.4">
      <c r="A35" s="12"/>
      <c r="B35" s="1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2.4" customHeight="1" x14ac:dyDescent="0.4">
      <c r="A36" s="1" t="s">
        <v>1</v>
      </c>
      <c r="B36" s="2"/>
      <c r="C36" s="2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2.4" customHeight="1" x14ac:dyDescent="0.4">
      <c r="A37" s="1" t="s">
        <v>2</v>
      </c>
      <c r="B37" s="2"/>
      <c r="C37" s="2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2.4" customHeight="1" x14ac:dyDescent="0.4">
      <c r="A38" s="14" t="s">
        <v>3</v>
      </c>
      <c r="B38" s="2"/>
      <c r="C38" s="2">
        <v>-1494</v>
      </c>
      <c r="D38" s="2">
        <v>-133.83000000000001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2.4" customHeight="1" x14ac:dyDescent="0.4">
      <c r="A39" s="15" t="s">
        <v>4</v>
      </c>
      <c r="B39" s="2"/>
      <c r="C39" s="2">
        <v>-222.49</v>
      </c>
      <c r="D39" s="2">
        <v>-1494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2.4" customHeight="1" x14ac:dyDescent="0.4">
      <c r="A40" s="15" t="s">
        <v>5</v>
      </c>
      <c r="B40" s="2"/>
      <c r="C40" s="2">
        <v>0</v>
      </c>
      <c r="D40" s="2">
        <v>-222.49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2.4" customHeight="1" x14ac:dyDescent="0.4">
      <c r="A41" s="1" t="s">
        <v>6</v>
      </c>
      <c r="B41" s="2"/>
      <c r="C41" s="2">
        <v>-1138.47</v>
      </c>
      <c r="D41" s="2">
        <v>0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2.25" customHeight="1" x14ac:dyDescent="0.4">
      <c r="A42" s="12"/>
      <c r="B42" s="12"/>
      <c r="C42" s="2"/>
      <c r="D42" s="2"/>
      <c r="E42" s="26"/>
      <c r="F42" s="26"/>
      <c r="G42" s="2"/>
      <c r="H42" s="2"/>
      <c r="I42" s="2"/>
      <c r="J42" s="2"/>
      <c r="K42" s="2"/>
      <c r="L42" s="2"/>
      <c r="M42" s="2"/>
      <c r="N42" s="2"/>
      <c r="O42" s="2"/>
    </row>
    <row r="43" spans="1:15" s="7" customFormat="1" ht="12.75" x14ac:dyDescent="0.35">
      <c r="A43" s="11" t="s">
        <v>10</v>
      </c>
      <c r="B43" s="13">
        <f>SUM(B5+B16+B25+B34)</f>
        <v>0</v>
      </c>
      <c r="C43" s="13">
        <f t="shared" ref="C43" si="10">SUM(C5+C16+C25+C34)</f>
        <v>188390.82000000004</v>
      </c>
      <c r="D43" s="13">
        <f>SUM(D5+D16+D25+D34)</f>
        <v>318733.67</v>
      </c>
      <c r="E43" s="13">
        <f t="shared" ref="E43:O43" si="11">SUM(E5+E16+E25+E34)</f>
        <v>0</v>
      </c>
      <c r="F43" s="13">
        <f t="shared" ref="F43" si="12">SUM(F5+F16+F25+F34)</f>
        <v>0</v>
      </c>
      <c r="G43" s="13">
        <f t="shared" si="11"/>
        <v>0</v>
      </c>
      <c r="H43" s="13">
        <f t="shared" si="11"/>
        <v>0</v>
      </c>
      <c r="I43" s="13">
        <f t="shared" si="11"/>
        <v>0</v>
      </c>
      <c r="J43" s="13">
        <f t="shared" si="11"/>
        <v>0</v>
      </c>
      <c r="K43" s="13">
        <f t="shared" si="11"/>
        <v>0</v>
      </c>
      <c r="L43" s="13">
        <f t="shared" si="11"/>
        <v>0</v>
      </c>
      <c r="M43" s="13">
        <f t="shared" si="11"/>
        <v>0</v>
      </c>
      <c r="N43" s="13">
        <f t="shared" si="11"/>
        <v>0</v>
      </c>
      <c r="O43" s="13">
        <f t="shared" si="11"/>
        <v>0</v>
      </c>
    </row>
    <row r="44" spans="1:15" ht="2.25" customHeight="1" x14ac:dyDescent="0.4">
      <c r="A44" s="12"/>
      <c r="B44" s="1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2.4" customHeight="1" x14ac:dyDescent="0.4">
      <c r="A45" s="1" t="s">
        <v>1</v>
      </c>
      <c r="B45" s="2"/>
      <c r="C45" s="13">
        <f t="shared" ref="C45" si="13">SUM(C7+C18+C27+C36)</f>
        <v>9376.7000000000007</v>
      </c>
      <c r="D45" s="13">
        <f t="shared" ref="D45:O50" si="14">SUM(D7+D18+D27+D36)</f>
        <v>163858.07</v>
      </c>
      <c r="E45" s="13">
        <f t="shared" si="14"/>
        <v>0</v>
      </c>
      <c r="F45" s="13">
        <f t="shared" ref="F45" si="15">SUM(F7+F18+F27+F36)</f>
        <v>0</v>
      </c>
      <c r="G45" s="13">
        <f t="shared" si="14"/>
        <v>0</v>
      </c>
      <c r="H45" s="13">
        <f t="shared" si="14"/>
        <v>0</v>
      </c>
      <c r="I45" s="13">
        <f t="shared" si="14"/>
        <v>0</v>
      </c>
      <c r="J45" s="13">
        <f t="shared" si="14"/>
        <v>0</v>
      </c>
      <c r="K45" s="13">
        <f t="shared" si="14"/>
        <v>0</v>
      </c>
      <c r="L45" s="13">
        <f t="shared" si="14"/>
        <v>0</v>
      </c>
      <c r="M45" s="13">
        <f t="shared" si="14"/>
        <v>0</v>
      </c>
      <c r="N45" s="13">
        <f t="shared" si="14"/>
        <v>0</v>
      </c>
      <c r="O45" s="13">
        <f t="shared" si="14"/>
        <v>0</v>
      </c>
    </row>
    <row r="46" spans="1:15" ht="12.4" customHeight="1" x14ac:dyDescent="0.4">
      <c r="A46" s="1" t="s">
        <v>2</v>
      </c>
      <c r="B46" s="2"/>
      <c r="C46" s="13">
        <f t="shared" ref="C46" si="16">SUM(C8+C19+C28+C37)</f>
        <v>182162.89</v>
      </c>
      <c r="D46" s="13">
        <f t="shared" si="14"/>
        <v>161006.42000000001</v>
      </c>
      <c r="E46" s="13">
        <f t="shared" si="14"/>
        <v>0</v>
      </c>
      <c r="F46" s="13">
        <f t="shared" ref="F46" si="17">SUM(F8+F19+F28+F37)</f>
        <v>0</v>
      </c>
      <c r="G46" s="13">
        <f t="shared" si="14"/>
        <v>0</v>
      </c>
      <c r="H46" s="13">
        <f t="shared" si="14"/>
        <v>0</v>
      </c>
      <c r="I46" s="13">
        <f t="shared" si="14"/>
        <v>0</v>
      </c>
      <c r="J46" s="13">
        <f t="shared" si="14"/>
        <v>0</v>
      </c>
      <c r="K46" s="13">
        <f t="shared" si="14"/>
        <v>0</v>
      </c>
      <c r="L46" s="13">
        <f t="shared" si="14"/>
        <v>0</v>
      </c>
      <c r="M46" s="13">
        <f t="shared" si="14"/>
        <v>0</v>
      </c>
      <c r="N46" s="13">
        <f t="shared" si="14"/>
        <v>0</v>
      </c>
      <c r="O46" s="13">
        <f t="shared" si="14"/>
        <v>0</v>
      </c>
    </row>
    <row r="47" spans="1:15" ht="12.4" customHeight="1" x14ac:dyDescent="0.4">
      <c r="A47" s="14" t="s">
        <v>3</v>
      </c>
      <c r="B47" s="2"/>
      <c r="C47" s="13">
        <f t="shared" ref="C47" si="18">SUM(C9+C20+C29+C38)</f>
        <v>21022.07</v>
      </c>
      <c r="D47" s="13">
        <f t="shared" si="14"/>
        <v>-832.39000000000044</v>
      </c>
      <c r="E47" s="13">
        <f t="shared" si="14"/>
        <v>0</v>
      </c>
      <c r="F47" s="13">
        <f t="shared" ref="F47" si="19">SUM(F9+F20+F29+F38)</f>
        <v>0</v>
      </c>
      <c r="G47" s="13">
        <f t="shared" si="14"/>
        <v>0</v>
      </c>
      <c r="H47" s="13">
        <f t="shared" si="14"/>
        <v>0</v>
      </c>
      <c r="I47" s="13">
        <f t="shared" si="14"/>
        <v>0</v>
      </c>
      <c r="J47" s="13">
        <f t="shared" si="14"/>
        <v>0</v>
      </c>
      <c r="K47" s="13">
        <f t="shared" si="14"/>
        <v>0</v>
      </c>
      <c r="L47" s="13">
        <f t="shared" si="14"/>
        <v>0</v>
      </c>
      <c r="M47" s="13">
        <f t="shared" si="14"/>
        <v>0</v>
      </c>
      <c r="N47" s="13">
        <f t="shared" si="14"/>
        <v>0</v>
      </c>
      <c r="O47" s="13">
        <f t="shared" si="14"/>
        <v>0</v>
      </c>
    </row>
    <row r="48" spans="1:15" ht="12.4" customHeight="1" x14ac:dyDescent="0.4">
      <c r="A48" s="15" t="s">
        <v>4</v>
      </c>
      <c r="B48" s="2"/>
      <c r="C48" s="13">
        <f t="shared" ref="C48" si="20">SUM(C10+C21+C30+C39)</f>
        <v>-20575.230000000003</v>
      </c>
      <c r="D48" s="13">
        <f t="shared" si="14"/>
        <v>-1955.94</v>
      </c>
      <c r="E48" s="13">
        <f t="shared" si="14"/>
        <v>0</v>
      </c>
      <c r="F48" s="13">
        <f t="shared" ref="F48" si="21">SUM(F10+F21+F30+F39)</f>
        <v>0</v>
      </c>
      <c r="G48" s="13">
        <f t="shared" si="14"/>
        <v>0</v>
      </c>
      <c r="H48" s="13">
        <f t="shared" si="14"/>
        <v>0</v>
      </c>
      <c r="I48" s="13">
        <f t="shared" si="14"/>
        <v>0</v>
      </c>
      <c r="J48" s="13">
        <f t="shared" si="14"/>
        <v>0</v>
      </c>
      <c r="K48" s="13">
        <f t="shared" si="14"/>
        <v>0</v>
      </c>
      <c r="L48" s="13">
        <f t="shared" si="14"/>
        <v>0</v>
      </c>
      <c r="M48" s="13">
        <f t="shared" si="14"/>
        <v>0</v>
      </c>
      <c r="N48" s="13">
        <f t="shared" si="14"/>
        <v>0</v>
      </c>
      <c r="O48" s="13">
        <f t="shared" si="14"/>
        <v>0</v>
      </c>
    </row>
    <row r="49" spans="1:15" ht="12.4" customHeight="1" x14ac:dyDescent="0.4">
      <c r="A49" s="15" t="s">
        <v>5</v>
      </c>
      <c r="B49" s="2"/>
      <c r="C49" s="13">
        <f t="shared" ref="C49" si="22">SUM(C11+C22+C31+C40)</f>
        <v>-1099.7</v>
      </c>
      <c r="D49" s="13">
        <f t="shared" si="14"/>
        <v>-2351.0999999999995</v>
      </c>
      <c r="E49" s="13">
        <f t="shared" si="14"/>
        <v>0</v>
      </c>
      <c r="F49" s="13">
        <f t="shared" ref="F49" si="23">SUM(F11+F22+F31+F40)</f>
        <v>0</v>
      </c>
      <c r="G49" s="13">
        <f t="shared" si="14"/>
        <v>0</v>
      </c>
      <c r="H49" s="13">
        <f t="shared" si="14"/>
        <v>0</v>
      </c>
      <c r="I49" s="13">
        <f t="shared" si="14"/>
        <v>0</v>
      </c>
      <c r="J49" s="13">
        <f t="shared" si="14"/>
        <v>0</v>
      </c>
      <c r="K49" s="13">
        <f t="shared" si="14"/>
        <v>0</v>
      </c>
      <c r="L49" s="13">
        <f t="shared" si="14"/>
        <v>0</v>
      </c>
      <c r="M49" s="13">
        <f t="shared" si="14"/>
        <v>0</v>
      </c>
      <c r="N49" s="13">
        <f t="shared" si="14"/>
        <v>0</v>
      </c>
      <c r="O49" s="13">
        <f t="shared" si="14"/>
        <v>0</v>
      </c>
    </row>
    <row r="50" spans="1:15" ht="12.4" customHeight="1" x14ac:dyDescent="0.4">
      <c r="A50" s="1" t="s">
        <v>6</v>
      </c>
      <c r="B50" s="2"/>
      <c r="C50" s="13">
        <f t="shared" ref="C50" si="24">SUM(C12+C23+C32+C41)</f>
        <v>-2495.91</v>
      </c>
      <c r="D50" s="13">
        <f t="shared" si="14"/>
        <v>-991.39</v>
      </c>
      <c r="E50" s="13">
        <f t="shared" si="14"/>
        <v>0</v>
      </c>
      <c r="F50" s="13">
        <f t="shared" ref="F50" si="25">SUM(F12+F23+F32+F41)</f>
        <v>0</v>
      </c>
      <c r="G50" s="13">
        <f t="shared" si="14"/>
        <v>0</v>
      </c>
      <c r="H50" s="13">
        <f t="shared" si="14"/>
        <v>0</v>
      </c>
      <c r="I50" s="13">
        <f t="shared" si="14"/>
        <v>0</v>
      </c>
      <c r="J50" s="13">
        <f t="shared" si="14"/>
        <v>0</v>
      </c>
      <c r="K50" s="13">
        <f t="shared" si="14"/>
        <v>0</v>
      </c>
      <c r="L50" s="13">
        <f t="shared" si="14"/>
        <v>0</v>
      </c>
      <c r="M50" s="13">
        <f t="shared" si="14"/>
        <v>0</v>
      </c>
      <c r="N50" s="13">
        <f t="shared" si="14"/>
        <v>0</v>
      </c>
      <c r="O50" s="13">
        <f t="shared" si="14"/>
        <v>0</v>
      </c>
    </row>
    <row r="51" spans="1:15" ht="15" customHeight="1" x14ac:dyDescent="0.4">
      <c r="A51" s="11" t="s">
        <v>13</v>
      </c>
      <c r="B51" s="13">
        <f>SUM(B46:B50)</f>
        <v>0</v>
      </c>
      <c r="C51" s="13">
        <f t="shared" ref="C51" si="26">SUM(C13,C19:C23,C28:C32,C37:C41)</f>
        <v>179014.12</v>
      </c>
      <c r="D51" s="13">
        <f t="shared" ref="D51:O51" si="27">SUM(D13,D19:D23,D28:D32,D37:D41)</f>
        <v>154875.6</v>
      </c>
      <c r="E51" s="13">
        <f t="shared" si="27"/>
        <v>0</v>
      </c>
      <c r="F51" s="13">
        <f t="shared" ref="F51" si="28">SUM(F13,F19:F23,F28:F32,F37:F41)</f>
        <v>0</v>
      </c>
      <c r="G51" s="13">
        <f t="shared" si="27"/>
        <v>0</v>
      </c>
      <c r="H51" s="13">
        <f t="shared" si="27"/>
        <v>0</v>
      </c>
      <c r="I51" s="13">
        <f t="shared" si="27"/>
        <v>0</v>
      </c>
      <c r="J51" s="13">
        <f t="shared" si="27"/>
        <v>0</v>
      </c>
      <c r="K51" s="13">
        <f t="shared" si="27"/>
        <v>0</v>
      </c>
      <c r="L51" s="13">
        <f t="shared" si="27"/>
        <v>0</v>
      </c>
      <c r="M51" s="13">
        <f t="shared" si="27"/>
        <v>0</v>
      </c>
      <c r="N51" s="13">
        <f t="shared" si="27"/>
        <v>0</v>
      </c>
      <c r="O51" s="13">
        <f t="shared" si="27"/>
        <v>0</v>
      </c>
    </row>
    <row r="52" spans="1:15" s="7" customFormat="1" ht="12.75" x14ac:dyDescent="0.35">
      <c r="A52" s="11" t="s">
        <v>11</v>
      </c>
      <c r="B52" s="13">
        <f>SUM(B47+B48+B49+B50)</f>
        <v>0</v>
      </c>
      <c r="C52" s="13">
        <f t="shared" ref="C52" si="29">SUM(C14+C20+C21+C22+C23+C29+C30+C31+C32+C38+C39+C40+C41)</f>
        <v>-3148.7699999999995</v>
      </c>
      <c r="D52" s="13">
        <f t="shared" ref="D52:O52" si="30">SUM(D14+D20+D21+D22+D23+D29+D30+D31+D32+D38+D39+D40+D41)</f>
        <v>-6130.82</v>
      </c>
      <c r="E52" s="13">
        <f t="shared" si="30"/>
        <v>0</v>
      </c>
      <c r="F52" s="13">
        <f t="shared" ref="F52" si="31">SUM(F14+F20+F21+F22+F23+F29+F30+F31+F32+F38+F39+F40+F41)</f>
        <v>0</v>
      </c>
      <c r="G52" s="13">
        <f t="shared" si="30"/>
        <v>0</v>
      </c>
      <c r="H52" s="13">
        <f t="shared" si="30"/>
        <v>0</v>
      </c>
      <c r="I52" s="13">
        <f t="shared" si="30"/>
        <v>0</v>
      </c>
      <c r="J52" s="13">
        <f t="shared" si="30"/>
        <v>0</v>
      </c>
      <c r="K52" s="13">
        <f t="shared" si="30"/>
        <v>0</v>
      </c>
      <c r="L52" s="13">
        <f t="shared" si="30"/>
        <v>0</v>
      </c>
      <c r="M52" s="13">
        <f t="shared" si="30"/>
        <v>0</v>
      </c>
      <c r="N52" s="13">
        <f t="shared" si="30"/>
        <v>0</v>
      </c>
      <c r="O52" s="13">
        <f t="shared" si="30"/>
        <v>0</v>
      </c>
    </row>
    <row r="53" spans="1:15" x14ac:dyDescent="0.4">
      <c r="A53" s="16" t="s">
        <v>12</v>
      </c>
      <c r="B53" s="12"/>
      <c r="C53" s="27">
        <v>72</v>
      </c>
      <c r="D53" s="23">
        <v>67</v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</row>
    <row r="54" spans="1:15" s="20" customFormat="1" ht="18.75" customHeight="1" x14ac:dyDescent="0.35">
      <c r="A54" s="21" t="s">
        <v>16</v>
      </c>
      <c r="B54" s="22" t="e">
        <f>SUM(1-(B52/#REF!))</f>
        <v>#REF!</v>
      </c>
      <c r="C54" s="22">
        <v>1</v>
      </c>
      <c r="D54" s="22">
        <v>1</v>
      </c>
      <c r="E54" s="22">
        <v>1</v>
      </c>
      <c r="F54" s="22">
        <v>1</v>
      </c>
      <c r="G54" s="22">
        <v>1</v>
      </c>
      <c r="H54" s="22">
        <v>1</v>
      </c>
      <c r="I54" s="22">
        <v>1</v>
      </c>
      <c r="J54" s="22">
        <v>1</v>
      </c>
      <c r="K54" s="22">
        <v>1</v>
      </c>
      <c r="L54" s="22">
        <v>1</v>
      </c>
      <c r="M54" s="22">
        <v>1</v>
      </c>
      <c r="N54" s="22">
        <v>1</v>
      </c>
      <c r="O54" s="22">
        <v>1</v>
      </c>
    </row>
  </sheetData>
  <mergeCells count="1">
    <mergeCell ref="A1:N1"/>
  </mergeCells>
  <phoneticPr fontId="5" type="noConversion"/>
  <pageMargins left="0.75" right="0.75" top="1" bottom="1" header="0.5" footer="0.5"/>
  <pageSetup scale="68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35911D74F7C246BCB6B5C413F2047A" ma:contentTypeVersion="7" ma:contentTypeDescription="Create a new document." ma:contentTypeScope="" ma:versionID="c842e40b590191073d69a65491fc236d">
  <xsd:schema xmlns:xsd="http://www.w3.org/2001/XMLSchema" xmlns:xs="http://www.w3.org/2001/XMLSchema" xmlns:p="http://schemas.microsoft.com/office/2006/metadata/properties" xmlns:ns1="http://schemas.microsoft.com/sharepoint/v3" xmlns:ns2="b7addc1b-cb06-46b8-b86e-d5d91a586e26" xmlns:ns3="http://schemas.microsoft.com/sharepoint/v3/fields" xmlns:ns4="d384b00f-15b7-4cb7-9499-5cfd0159e0cb" targetNamespace="http://schemas.microsoft.com/office/2006/metadata/properties" ma:root="true" ma:fieldsID="fea46eb72ee55f8a40cd0ecbe23025da" ns1:_="" ns2:_="" ns3:_="" ns4:_="">
    <xsd:import namespace="http://schemas.microsoft.com/sharepoint/v3"/>
    <xsd:import namespace="b7addc1b-cb06-46b8-b86e-d5d91a586e26"/>
    <xsd:import namespace="http://schemas.microsoft.com/sharepoint/v3/fields"/>
    <xsd:import namespace="d384b00f-15b7-4cb7-9499-5cfd0159e0c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1:TaskGroup" minOccurs="0"/>
                <xsd:element ref="ns3:_Relation" minOccurs="0"/>
                <xsd:element ref="ns2:LastSharedByUser" minOccurs="0"/>
                <xsd:element ref="ns2:LastSharedByTime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TaskGroup" ma:index="10" nillable="true" ma:displayName="Task Group" ma:list="UserInfo" ma:internalName="TaskGroup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addc1b-cb06-46b8-b86e-d5d91a586e2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3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Relation" ma:index="11" nillable="true" ma:displayName="Relation" ma:description="References to related resources" ma:internalName="_Rela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84b00f-15b7-4cb7-9499-5cfd0159e0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Relation xmlns="http://schemas.microsoft.com/sharepoint/v3/fields" xsi:nil="true"/>
    <TaskGroup xmlns="http://schemas.microsoft.com/sharepoint/v3">
      <UserInfo>
        <DisplayName/>
        <AccountId xsi:nil="true"/>
        <AccountType/>
      </UserInfo>
    </TaskGroup>
  </documentManagement>
</p:properties>
</file>

<file path=customXml/itemProps1.xml><?xml version="1.0" encoding="utf-8"?>
<ds:datastoreItem xmlns:ds="http://schemas.openxmlformats.org/officeDocument/2006/customXml" ds:itemID="{22A97010-1F42-41CA-8651-532E1EB3A0A0}"/>
</file>

<file path=customXml/itemProps2.xml><?xml version="1.0" encoding="utf-8"?>
<ds:datastoreItem xmlns:ds="http://schemas.openxmlformats.org/officeDocument/2006/customXml" ds:itemID="{CDA3544E-9190-4C66-A621-7BBE3E72C7AF}"/>
</file>

<file path=customXml/itemProps3.xml><?xml version="1.0" encoding="utf-8"?>
<ds:datastoreItem xmlns:ds="http://schemas.openxmlformats.org/officeDocument/2006/customXml" ds:itemID="{023B4299-53D9-4FFB-BD7F-75C188FCDF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PCEC Total</vt:lpstr>
      <vt:lpstr>PCEG Total</vt:lpstr>
      <vt:lpstr>'PCEC Total'!Print_Area</vt:lpstr>
    </vt:vector>
  </TitlesOfParts>
  <Company>Panasonic North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Jim Shea</dc:creator>
  <cp:lastModifiedBy>Administrator</cp:lastModifiedBy>
  <cp:lastPrinted>2014-06-03T13:55:47Z</cp:lastPrinted>
  <dcterms:created xsi:type="dcterms:W3CDTF">2007-08-09T15:18:02Z</dcterms:created>
  <dcterms:modified xsi:type="dcterms:W3CDTF">2018-05-04T19:24:54Z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0x010100B535911D74F7C246BCB6B5C413F2047A</vt:lpwstr>
  </property>
</Properties>
</file>